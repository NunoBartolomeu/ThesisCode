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6.xml" ContentType="application/vnd.openxmlformats-officedocument.themeOverrid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b2d10e587f70657/Ambiente de Trabalho/"/>
    </mc:Choice>
  </mc:AlternateContent>
  <xr:revisionPtr revIDLastSave="1629" documentId="11_F25DC773A252ABDACC1048F279DE63A85BDE58EC" xr6:coauthVersionLast="47" xr6:coauthVersionMax="47" xr10:uidLastSave="{B797E3DD-BE50-4B94-BA3D-5C2E02D51855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2" i="1" l="1"/>
  <c r="X108" i="1" s="1"/>
  <c r="V52" i="1"/>
  <c r="W152" i="1"/>
  <c r="X152" i="1"/>
  <c r="W153" i="1"/>
  <c r="X153" i="1"/>
  <c r="W154" i="1"/>
  <c r="X154" i="1"/>
  <c r="W155" i="1"/>
  <c r="X155" i="1"/>
  <c r="W156" i="1"/>
  <c r="X156" i="1"/>
  <c r="V156" i="1"/>
  <c r="V155" i="1"/>
  <c r="V154" i="1"/>
  <c r="V153" i="1"/>
  <c r="V152" i="1"/>
  <c r="W128" i="1"/>
  <c r="X128" i="1"/>
  <c r="W129" i="1"/>
  <c r="X129" i="1"/>
  <c r="W130" i="1"/>
  <c r="X130" i="1"/>
  <c r="W131" i="1"/>
  <c r="X131" i="1"/>
  <c r="V131" i="1"/>
  <c r="V130" i="1"/>
  <c r="V129" i="1"/>
  <c r="V128" i="1"/>
  <c r="W108" i="1"/>
  <c r="W109" i="1"/>
  <c r="X109" i="1"/>
  <c r="W110" i="1"/>
  <c r="X110" i="1"/>
  <c r="W111" i="1"/>
  <c r="X111" i="1"/>
  <c r="W112" i="1"/>
  <c r="X112" i="1"/>
  <c r="V112" i="1"/>
  <c r="V111" i="1"/>
  <c r="V110" i="1"/>
  <c r="V109" i="1"/>
  <c r="V108" i="1"/>
  <c r="W82" i="1"/>
  <c r="X82" i="1"/>
  <c r="W83" i="1"/>
  <c r="X83" i="1"/>
  <c r="W84" i="1"/>
  <c r="X84" i="1"/>
  <c r="W85" i="1"/>
  <c r="X85" i="1"/>
  <c r="W86" i="1"/>
  <c r="X86" i="1"/>
  <c r="W87" i="1"/>
  <c r="X87" i="1"/>
  <c r="V87" i="1"/>
  <c r="V86" i="1"/>
  <c r="V85" i="1"/>
  <c r="V84" i="1"/>
  <c r="V83" i="1"/>
  <c r="V82" i="1"/>
  <c r="W52" i="1"/>
  <c r="X52" i="1"/>
  <c r="W53" i="1"/>
  <c r="X53" i="1"/>
  <c r="W54" i="1"/>
  <c r="X54" i="1"/>
  <c r="W55" i="1"/>
  <c r="X55" i="1"/>
  <c r="W56" i="1"/>
  <c r="X56" i="1"/>
  <c r="W57" i="1"/>
  <c r="X57" i="1"/>
  <c r="V57" i="1"/>
  <c r="V56" i="1"/>
  <c r="V55" i="1"/>
  <c r="V54" i="1"/>
  <c r="V53" i="1"/>
  <c r="X26" i="1"/>
  <c r="X27" i="1"/>
  <c r="V26" i="1"/>
  <c r="W26" i="1"/>
  <c r="V27" i="1"/>
  <c r="W27" i="1"/>
  <c r="W16" i="1"/>
  <c r="X16" i="1"/>
  <c r="W17" i="1"/>
  <c r="X17" i="1"/>
  <c r="V17" i="1"/>
  <c r="V16" i="1"/>
  <c r="W15" i="1"/>
  <c r="X15" i="1"/>
  <c r="V15" i="1"/>
  <c r="R62" i="1"/>
  <c r="R87" i="1"/>
  <c r="R82" i="1"/>
  <c r="P137" i="1"/>
  <c r="Q137" i="1"/>
  <c r="R137" i="1"/>
  <c r="S137" i="1"/>
  <c r="P142" i="1"/>
  <c r="Q142" i="1"/>
  <c r="R142" i="1"/>
  <c r="S142" i="1"/>
  <c r="P147" i="1"/>
  <c r="Q147" i="1"/>
  <c r="R147" i="1"/>
  <c r="S147" i="1"/>
  <c r="P152" i="1"/>
  <c r="Q152" i="1"/>
  <c r="R152" i="1"/>
  <c r="S152" i="1"/>
  <c r="P157" i="1"/>
  <c r="Q157" i="1"/>
  <c r="R157" i="1"/>
  <c r="S157" i="1"/>
  <c r="J157" i="1"/>
  <c r="I157" i="1"/>
  <c r="H157" i="1"/>
  <c r="J156" i="1"/>
  <c r="I156" i="1"/>
  <c r="H156" i="1"/>
  <c r="J155" i="1"/>
  <c r="I155" i="1"/>
  <c r="H155" i="1"/>
  <c r="J154" i="1"/>
  <c r="I154" i="1"/>
  <c r="H154" i="1"/>
  <c r="J153" i="1"/>
  <c r="I153" i="1"/>
  <c r="H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J152" i="1"/>
  <c r="H152" i="1"/>
  <c r="J151" i="1"/>
  <c r="H151" i="1"/>
  <c r="J150" i="1"/>
  <c r="H150" i="1"/>
  <c r="J149" i="1"/>
  <c r="H149" i="1"/>
  <c r="J148" i="1"/>
  <c r="H148" i="1"/>
  <c r="J147" i="1"/>
  <c r="H147" i="1"/>
  <c r="J146" i="1"/>
  <c r="H146" i="1"/>
  <c r="J145" i="1"/>
  <c r="H145" i="1"/>
  <c r="J144" i="1"/>
  <c r="H144" i="1"/>
  <c r="J143" i="1"/>
  <c r="H143" i="1"/>
  <c r="J142" i="1"/>
  <c r="H142" i="1"/>
  <c r="J141" i="1"/>
  <c r="H141" i="1"/>
  <c r="J140" i="1"/>
  <c r="H140" i="1"/>
  <c r="J139" i="1"/>
  <c r="H139" i="1"/>
  <c r="J138" i="1"/>
  <c r="H138" i="1"/>
  <c r="J137" i="1"/>
  <c r="H137" i="1"/>
  <c r="J136" i="1"/>
  <c r="H136" i="1"/>
  <c r="J135" i="1"/>
  <c r="H135" i="1"/>
  <c r="J134" i="1"/>
  <c r="H134" i="1"/>
  <c r="J133" i="1"/>
  <c r="H133" i="1"/>
  <c r="P112" i="1"/>
  <c r="Q112" i="1"/>
  <c r="R112" i="1"/>
  <c r="S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3" i="1"/>
  <c r="J3" i="1"/>
  <c r="H106" i="1"/>
  <c r="H107" i="1"/>
  <c r="H112" i="1"/>
  <c r="H111" i="1"/>
  <c r="H110" i="1"/>
  <c r="H109" i="1"/>
  <c r="H108" i="1"/>
  <c r="S107" i="1"/>
  <c r="R107" i="1"/>
  <c r="Q107" i="1"/>
  <c r="P107" i="1"/>
  <c r="H105" i="1"/>
  <c r="H104" i="1"/>
  <c r="H103" i="1"/>
  <c r="S102" i="1"/>
  <c r="R102" i="1"/>
  <c r="Q102" i="1"/>
  <c r="P102" i="1"/>
  <c r="H102" i="1"/>
  <c r="H101" i="1"/>
  <c r="H100" i="1"/>
  <c r="H99" i="1"/>
  <c r="H98" i="1"/>
  <c r="S97" i="1"/>
  <c r="R97" i="1"/>
  <c r="Q97" i="1"/>
  <c r="P97" i="1"/>
  <c r="H97" i="1"/>
  <c r="H96" i="1"/>
  <c r="H95" i="1"/>
  <c r="H94" i="1"/>
  <c r="H93" i="1"/>
  <c r="R92" i="1"/>
  <c r="Q92" i="1"/>
  <c r="P92" i="1"/>
  <c r="H92" i="1"/>
  <c r="H91" i="1"/>
  <c r="H90" i="1"/>
  <c r="H89" i="1"/>
  <c r="H88" i="1"/>
  <c r="P122" i="1"/>
  <c r="Q122" i="1"/>
  <c r="R122" i="1"/>
  <c r="S122" i="1"/>
  <c r="P127" i="1"/>
  <c r="Q127" i="1"/>
  <c r="R127" i="1"/>
  <c r="S127" i="1"/>
  <c r="P132" i="1"/>
  <c r="Q132" i="1"/>
  <c r="R132" i="1"/>
  <c r="S132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S117" i="1"/>
  <c r="R117" i="1"/>
  <c r="Q117" i="1"/>
  <c r="P117" i="1"/>
  <c r="H117" i="1"/>
  <c r="H116" i="1"/>
  <c r="H115" i="1"/>
  <c r="H114" i="1"/>
  <c r="H113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P32" i="1"/>
  <c r="Q32" i="1"/>
  <c r="S32" i="1"/>
  <c r="P37" i="1"/>
  <c r="Q37" i="1"/>
  <c r="R37" i="1"/>
  <c r="S37" i="1"/>
  <c r="P42" i="1"/>
  <c r="Q42" i="1"/>
  <c r="R42" i="1"/>
  <c r="S42" i="1"/>
  <c r="P47" i="1"/>
  <c r="Q47" i="1"/>
  <c r="R47" i="1"/>
  <c r="S47" i="1"/>
  <c r="P52" i="1"/>
  <c r="Q52" i="1"/>
  <c r="R52" i="1"/>
  <c r="S52" i="1"/>
  <c r="P57" i="1"/>
  <c r="Q57" i="1"/>
  <c r="R57" i="1"/>
  <c r="S57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P62" i="1"/>
  <c r="Q62" i="1"/>
  <c r="S62" i="1"/>
  <c r="P67" i="1"/>
  <c r="Q67" i="1"/>
  <c r="R67" i="1"/>
  <c r="S67" i="1"/>
  <c r="P72" i="1"/>
  <c r="Q72" i="1"/>
  <c r="R72" i="1"/>
  <c r="S72" i="1"/>
  <c r="P77" i="1"/>
  <c r="Q77" i="1"/>
  <c r="R77" i="1"/>
  <c r="S77" i="1"/>
  <c r="P82" i="1"/>
  <c r="Q82" i="1"/>
  <c r="S82" i="1"/>
  <c r="P87" i="1"/>
  <c r="Q87" i="1"/>
  <c r="S87" i="1"/>
  <c r="P12" i="1"/>
  <c r="Q12" i="1"/>
  <c r="R12" i="1"/>
  <c r="S12" i="1"/>
  <c r="P17" i="1"/>
  <c r="Q17" i="1"/>
  <c r="R17" i="1"/>
  <c r="S17" i="1"/>
  <c r="R7" i="1"/>
  <c r="P22" i="1"/>
  <c r="Q22" i="1"/>
  <c r="R22" i="1"/>
  <c r="S22" i="1"/>
  <c r="P27" i="1"/>
  <c r="Q27" i="1"/>
  <c r="R27" i="1"/>
  <c r="S27" i="1"/>
  <c r="Q7" i="1"/>
  <c r="S7" i="1"/>
  <c r="P7" i="1"/>
  <c r="H12" i="1"/>
  <c r="H3" i="1"/>
  <c r="H4" i="1"/>
  <c r="H5" i="1"/>
  <c r="H6" i="1"/>
  <c r="H7" i="1"/>
  <c r="H8" i="1"/>
  <c r="H9" i="1"/>
  <c r="H10" i="1"/>
  <c r="H11" i="1"/>
  <c r="H13" i="1"/>
  <c r="H14" i="1"/>
  <c r="H15" i="1"/>
  <c r="H16" i="1"/>
  <c r="H17" i="1"/>
  <c r="H24" i="1"/>
  <c r="H25" i="1"/>
  <c r="H26" i="1"/>
  <c r="H27" i="1"/>
  <c r="H23" i="1"/>
  <c r="H19" i="1"/>
  <c r="H20" i="1"/>
  <c r="H21" i="1"/>
  <c r="H22" i="1"/>
  <c r="H18" i="1"/>
</calcChain>
</file>

<file path=xl/sharedStrings.xml><?xml version="1.0" encoding="utf-8"?>
<sst xmlns="http://schemas.openxmlformats.org/spreadsheetml/2006/main" count="386" uniqueCount="51">
  <si>
    <t>Number of Entries</t>
  </si>
  <si>
    <t>Signatures Per Entry</t>
  </si>
  <si>
    <t>Entries per Page</t>
  </si>
  <si>
    <t>Content Size (Bytes)</t>
  </si>
  <si>
    <t>Number of Threads</t>
  </si>
  <si>
    <t>Hash Algorithm</t>
  </si>
  <si>
    <t>Signature Algorithm</t>
  </si>
  <si>
    <t>Configuration</t>
  </si>
  <si>
    <t>Totals</t>
  </si>
  <si>
    <t>Total Entries</t>
  </si>
  <si>
    <t>Total Signatures</t>
  </si>
  <si>
    <t>Total Pages</t>
  </si>
  <si>
    <t>ECDSA</t>
  </si>
  <si>
    <t>SHA-256</t>
  </si>
  <si>
    <t>Averages</t>
  </si>
  <si>
    <t>Total Time (ms)</t>
  </si>
  <si>
    <t>Average Entry Creation (ms)</t>
  </si>
  <si>
    <t>Avreage Entry Signature (ms)</t>
  </si>
  <si>
    <t>Average Page Creation (ms)</t>
  </si>
  <si>
    <t>RSA</t>
  </si>
  <si>
    <t>SHA-512</t>
  </si>
  <si>
    <t>SHA3-256</t>
  </si>
  <si>
    <t>Avg, Entry Creation (ms)</t>
  </si>
  <si>
    <t>Avg, Entry Signature (ms)</t>
  </si>
  <si>
    <t>Avg. Page Creation (ms)</t>
  </si>
  <si>
    <t>1 Thread</t>
  </si>
  <si>
    <t>16 Threads</t>
  </si>
  <si>
    <t>2 Threads</t>
  </si>
  <si>
    <t>4 Threads</t>
  </si>
  <si>
    <t>8 Threads</t>
  </si>
  <si>
    <t>12 Threads</t>
  </si>
  <si>
    <t>516 Bytes</t>
  </si>
  <si>
    <t>1024 Bytes</t>
  </si>
  <si>
    <t>2048 Bytes</t>
  </si>
  <si>
    <t>4096 Bytes</t>
  </si>
  <si>
    <t>8192 Bytes</t>
  </si>
  <si>
    <t>16384 Bytes</t>
  </si>
  <si>
    <t>10 EPP</t>
  </si>
  <si>
    <t>50 EPP</t>
  </si>
  <si>
    <t>100 EPP</t>
  </si>
  <si>
    <t>500 EPP</t>
  </si>
  <si>
    <t>1000 EPP</t>
  </si>
  <si>
    <t>1 SPE</t>
  </si>
  <si>
    <t>3 SPE</t>
  </si>
  <si>
    <t>5 SPE</t>
  </si>
  <si>
    <t>10 SPE</t>
  </si>
  <si>
    <t>1000 Entries</t>
  </si>
  <si>
    <t>5000 Entries</t>
  </si>
  <si>
    <t>10000 Entries</t>
  </si>
  <si>
    <t>50000 Entries</t>
  </si>
  <si>
    <t>100000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</si>
</sst>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</cellStyleXfs>
  <cellXfs count="93">
    <xf numFmtId="0" fontId="0" fillId="0" borderId="0" xfId="0"/>
    <xf numFmtId="0" fontId="1" fillId="2" borderId="1" xfId="1" applyBorder="1"/>
    <xf numFmtId="0" fontId="1" fillId="5" borderId="1" xfId="4" applyBorder="1"/>
    <xf numFmtId="0" fontId="1" fillId="4" borderId="1" xfId="3" applyBorder="1"/>
    <xf numFmtId="0" fontId="1" fillId="8" borderId="1" xfId="7" applyBorder="1"/>
    <xf numFmtId="0" fontId="1" fillId="5" borderId="6" xfId="4" applyBorder="1"/>
    <xf numFmtId="0" fontId="1" fillId="5" borderId="7" xfId="4" applyBorder="1"/>
    <xf numFmtId="0" fontId="1" fillId="5" borderId="8" xfId="4" applyBorder="1"/>
    <xf numFmtId="0" fontId="1" fillId="5" borderId="9" xfId="4" applyBorder="1"/>
    <xf numFmtId="0" fontId="1" fillId="5" borderId="10" xfId="4" applyBorder="1"/>
    <xf numFmtId="0" fontId="1" fillId="4" borderId="6" xfId="3" applyBorder="1"/>
    <xf numFmtId="0" fontId="1" fillId="4" borderId="7" xfId="3" applyBorder="1"/>
    <xf numFmtId="0" fontId="1" fillId="4" borderId="8" xfId="3" applyBorder="1"/>
    <xf numFmtId="0" fontId="1" fillId="4" borderId="9" xfId="3" applyBorder="1"/>
    <xf numFmtId="0" fontId="1" fillId="4" borderId="10" xfId="3" applyBorder="1"/>
    <xf numFmtId="0" fontId="1" fillId="5" borderId="11" xfId="4" applyBorder="1"/>
    <xf numFmtId="0" fontId="1" fillId="4" borderId="11" xfId="3" applyBorder="1"/>
    <xf numFmtId="0" fontId="1" fillId="4" borderId="12" xfId="3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1" fillId="2" borderId="7" xfId="1" applyBorder="1"/>
    <xf numFmtId="0" fontId="1" fillId="8" borderId="7" xfId="7" applyBorder="1"/>
    <xf numFmtId="0" fontId="1" fillId="7" borderId="7" xfId="6" applyBorder="1"/>
    <xf numFmtId="0" fontId="1" fillId="9" borderId="7" xfId="8" applyBorder="1"/>
    <xf numFmtId="0" fontId="1" fillId="3" borderId="7" xfId="2" applyBorder="1"/>
    <xf numFmtId="0" fontId="1" fillId="3" borderId="12" xfId="2" applyBorder="1"/>
    <xf numFmtId="0" fontId="1" fillId="3" borderId="1" xfId="2" applyBorder="1"/>
    <xf numFmtId="0" fontId="1" fillId="9" borderId="1" xfId="8" applyBorder="1"/>
    <xf numFmtId="0" fontId="1" fillId="9" borderId="9" xfId="8" applyBorder="1"/>
    <xf numFmtId="0" fontId="1" fillId="3" borderId="5" xfId="2" applyBorder="1"/>
    <xf numFmtId="0" fontId="1" fillId="7" borderId="10" xfId="6" applyBorder="1"/>
    <xf numFmtId="0" fontId="1" fillId="5" borderId="3" xfId="4" applyBorder="1"/>
    <xf numFmtId="0" fontId="1" fillId="5" borderId="4" xfId="4" applyBorder="1"/>
    <xf numFmtId="0" fontId="1" fillId="5" borderId="5" xfId="4" applyBorder="1"/>
    <xf numFmtId="0" fontId="1" fillId="4" borderId="3" xfId="3" applyBorder="1"/>
    <xf numFmtId="0" fontId="1" fillId="4" borderId="4" xfId="3" applyBorder="1"/>
    <xf numFmtId="0" fontId="1" fillId="4" borderId="5" xfId="3" applyBorder="1"/>
    <xf numFmtId="0" fontId="1" fillId="7" borderId="1" xfId="6" applyBorder="1"/>
    <xf numFmtId="0" fontId="1" fillId="3" borderId="13" xfId="2" applyBorder="1"/>
    <xf numFmtId="0" fontId="1" fillId="3" borderId="6" xfId="2" applyBorder="1"/>
    <xf numFmtId="0" fontId="1" fillId="9" borderId="6" xfId="8" applyBorder="1"/>
    <xf numFmtId="0" fontId="1" fillId="9" borderId="8" xfId="8" applyBorder="1"/>
    <xf numFmtId="0" fontId="1" fillId="9" borderId="10" xfId="8" applyBorder="1"/>
    <xf numFmtId="0" fontId="1" fillId="3" borderId="3" xfId="2" applyBorder="1"/>
    <xf numFmtId="0" fontId="1" fillId="3" borderId="4" xfId="2" applyBorder="1"/>
    <xf numFmtId="0" fontId="1" fillId="7" borderId="6" xfId="6" applyBorder="1"/>
    <xf numFmtId="0" fontId="1" fillId="7" borderId="9" xfId="6" applyBorder="1"/>
    <xf numFmtId="0" fontId="1" fillId="9" borderId="0" xfId="8"/>
    <xf numFmtId="0" fontId="1" fillId="3" borderId="0" xfId="2"/>
    <xf numFmtId="0" fontId="1" fillId="7" borderId="0" xfId="6"/>
    <xf numFmtId="0" fontId="1" fillId="6" borderId="1" xfId="5" applyBorder="1"/>
    <xf numFmtId="0" fontId="1" fillId="2" borderId="4" xfId="1" applyBorder="1"/>
    <xf numFmtId="0" fontId="1" fillId="3" borderId="9" xfId="2" applyBorder="1"/>
    <xf numFmtId="0" fontId="1" fillId="2" borderId="9" xfId="1" applyBorder="1"/>
    <xf numFmtId="0" fontId="1" fillId="3" borderId="8" xfId="2" applyBorder="1"/>
    <xf numFmtId="0" fontId="1" fillId="3" borderId="10" xfId="2" applyBorder="1"/>
    <xf numFmtId="0" fontId="2" fillId="0" borderId="25" xfId="0" applyFont="1" applyBorder="1"/>
    <xf numFmtId="0" fontId="2" fillId="0" borderId="29" xfId="0" applyFont="1" applyBorder="1"/>
    <xf numFmtId="0" fontId="2" fillId="0" borderId="30" xfId="0" applyFont="1" applyBorder="1"/>
    <xf numFmtId="0" fontId="1" fillId="3" borderId="23" xfId="2" applyBorder="1"/>
    <xf numFmtId="0" fontId="1" fillId="3" borderId="2" xfId="2" applyBorder="1"/>
    <xf numFmtId="0" fontId="1" fillId="9" borderId="2" xfId="8" applyBorder="1"/>
    <xf numFmtId="0" fontId="1" fillId="7" borderId="2" xfId="6" applyBorder="1"/>
    <xf numFmtId="0" fontId="1" fillId="7" borderId="24" xfId="6" applyBorder="1"/>
    <xf numFmtId="0" fontId="1" fillId="3" borderId="31" xfId="2" applyBorder="1"/>
    <xf numFmtId="0" fontId="1" fillId="9" borderId="24" xfId="8" applyBorder="1"/>
    <xf numFmtId="0" fontId="1" fillId="3" borderId="24" xfId="2" applyBorder="1"/>
    <xf numFmtId="0" fontId="1" fillId="2" borderId="5" xfId="1" applyBorder="1"/>
    <xf numFmtId="0" fontId="1" fillId="6" borderId="7" xfId="5" applyBorder="1"/>
    <xf numFmtId="0" fontId="1" fillId="8" borderId="10" xfId="7" applyBorder="1"/>
    <xf numFmtId="0" fontId="1" fillId="4" borderId="20" xfId="3" applyBorder="1"/>
    <xf numFmtId="0" fontId="1" fillId="4" borderId="21" xfId="3" applyBorder="1"/>
    <xf numFmtId="0" fontId="1" fillId="4" borderId="22" xfId="3" applyBorder="1"/>
    <xf numFmtId="0" fontId="1" fillId="2" borderId="3" xfId="1" applyBorder="1"/>
    <xf numFmtId="0" fontId="1" fillId="2" borderId="6" xfId="1" applyBorder="1"/>
    <xf numFmtId="0" fontId="1" fillId="8" borderId="6" xfId="7" applyBorder="1"/>
    <xf numFmtId="0" fontId="1" fillId="6" borderId="6" xfId="5" applyBorder="1"/>
    <xf numFmtId="0" fontId="1" fillId="4" borderId="26" xfId="3" applyBorder="1"/>
    <xf numFmtId="0" fontId="1" fillId="3" borderId="27" xfId="2" applyBorder="1"/>
    <xf numFmtId="0" fontId="1" fillId="4" borderId="27" xfId="3" applyBorder="1"/>
    <xf numFmtId="0" fontId="1" fillId="4" borderId="28" xfId="3" applyBorder="1"/>
    <xf numFmtId="0" fontId="1" fillId="4" borderId="32" xfId="3" applyBorder="1"/>
    <xf numFmtId="0" fontId="1" fillId="4" borderId="33" xfId="3" applyBorder="1"/>
    <xf numFmtId="0" fontId="1" fillId="4" borderId="34" xfId="3" applyBorder="1"/>
    <xf numFmtId="0" fontId="1" fillId="8" borderId="8" xfId="7" applyBorder="1"/>
    <xf numFmtId="0" fontId="1" fillId="3" borderId="0" xfId="2" applyBorder="1"/>
    <xf numFmtId="0" fontId="1" fillId="9" borderId="0" xfId="8" applyBorder="1"/>
    <xf numFmtId="0" fontId="1" fillId="7" borderId="0" xfId="6" applyBorder="1"/>
    <xf numFmtId="0" fontId="2" fillId="0" borderId="0" xfId="0" applyFont="1"/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</cellXfs>
  <cellStyles count="9">
    <cellStyle name="40% - Accent2" xfId="1" builtinId="35"/>
    <cellStyle name="40% - Accent3" xfId="3" builtinId="39"/>
    <cellStyle name="40% - Accent4" xfId="4" builtinId="43"/>
    <cellStyle name="40% - Accent5" xfId="5" builtinId="47"/>
    <cellStyle name="40% - Accent6" xfId="7" builtinId="51"/>
    <cellStyle name="60% - Accent2" xfId="2" builtinId="36"/>
    <cellStyle name="60% - Accent5" xfId="6" builtinId="48"/>
    <cellStyle name="60% - Accent6" xfId="8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600" b="1" i="0" u="none" strike="noStrike" kern="1200" cap="none" spc="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Hash Algorithm Test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Sheet1!$U$15</c:f>
              <c:strCache>
                <c:ptCount val="1"/>
                <c:pt idx="0">
                  <c:v>SHA-256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Sheet1!$V$14:$X$14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Sheet1!$V$15:$X$15</c:f>
              <c:numCache>
                <c:formatCode>General</c:formatCode>
                <c:ptCount val="3"/>
                <c:pt idx="0">
                  <c:v>2.4971400000000004</c:v>
                </c:pt>
                <c:pt idx="1">
                  <c:v>8.933959999999999</c:v>
                </c:pt>
                <c:pt idx="2">
                  <c:v>6.9577400000000011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D-4914-B91D-1D48D2BE2546}"/>
            </c:ext>
          </c:extLst>
        </c:ser>
        <c:ser>
          <c:idx val="1"/>
          <c:order val="1"/>
          <c:tx>
            <c:strRef>
              <c:f>Sheet1!$U$16</c:f>
              <c:strCache>
                <c:ptCount val="1"/>
                <c:pt idx="0">
                  <c:v>SHA-512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Sheet1!$V$14:$X$14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Sheet1!$V$16:$X$16</c:f>
              <c:numCache>
                <c:formatCode>General</c:formatCode>
                <c:ptCount val="3"/>
                <c:pt idx="0">
                  <c:v>2.8662999999999998</c:v>
                </c:pt>
                <c:pt idx="1">
                  <c:v>9.2332000000000001</c:v>
                </c:pt>
                <c:pt idx="2">
                  <c:v>13.395060000000001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6D-4914-B91D-1D48D2BE2546}"/>
            </c:ext>
          </c:extLst>
        </c:ser>
        <c:ser>
          <c:idx val="2"/>
          <c:order val="2"/>
          <c:tx>
            <c:strRef>
              <c:f>Sheet1!$U$17</c:f>
              <c:strCache>
                <c:ptCount val="1"/>
                <c:pt idx="0">
                  <c:v>SHA3-256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Sheet1!$V$14:$X$14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Sheet1!$V$17:$X$17</c:f>
              <c:numCache>
                <c:formatCode>General</c:formatCode>
                <c:ptCount val="3"/>
                <c:pt idx="0">
                  <c:v>2.8325199999999997</c:v>
                </c:pt>
                <c:pt idx="1">
                  <c:v>9.4110200000000006</c:v>
                </c:pt>
                <c:pt idx="2">
                  <c:v>6.9458399999999996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6D-4914-B91D-1D48D2BE2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528422447"/>
        <c:axId val="528413327"/>
      </c:barChart>
      <c:catAx>
        <c:axId val="528422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413327"/>
        <c:crosses val="autoZero"/>
        <c:auto val="1"/>
        <c:lblAlgn val="ctr"/>
        <c:lblOffset val="100"/>
        <c:noMultiLvlLbl val="0"/>
      </c:catAx>
      <c:valAx>
        <c:axId val="52841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42244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Signature Algorithm Test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Sheet1!$U$26</c:f>
              <c:strCache>
                <c:ptCount val="1"/>
                <c:pt idx="0">
                  <c:v>ECDSA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Sheet1!$V$25:$X$25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Sheet1!$V$26:$X$26</c:f>
              <c:numCache>
                <c:formatCode>General</c:formatCode>
                <c:ptCount val="3"/>
                <c:pt idx="0">
                  <c:v>2.9299200000000001</c:v>
                </c:pt>
                <c:pt idx="1">
                  <c:v>9.0950600000000001</c:v>
                </c:pt>
                <c:pt idx="2">
                  <c:v>7.1710480000000008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D-4914-B91D-1D48D2BE2546}"/>
            </c:ext>
          </c:extLst>
        </c:ser>
        <c:ser>
          <c:idx val="1"/>
          <c:order val="1"/>
          <c:tx>
            <c:strRef>
              <c:f>Sheet1!$U$27</c:f>
              <c:strCache>
                <c:ptCount val="1"/>
                <c:pt idx="0">
                  <c:v>RSA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Sheet1!$V$25:$X$25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Sheet1!$V$27:$X$27</c:f>
              <c:numCache>
                <c:formatCode>General</c:formatCode>
                <c:ptCount val="3"/>
                <c:pt idx="0">
                  <c:v>0.29925999999999997</c:v>
                </c:pt>
                <c:pt idx="1">
                  <c:v>7.5963400000000005</c:v>
                </c:pt>
                <c:pt idx="2">
                  <c:v>6.2020600000000004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6D-4914-B91D-1D48D2BE2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528422447"/>
        <c:axId val="528413327"/>
      </c:barChart>
      <c:catAx>
        <c:axId val="528422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413327"/>
        <c:crosses val="autoZero"/>
        <c:auto val="1"/>
        <c:lblAlgn val="ctr"/>
        <c:lblOffset val="100"/>
        <c:noMultiLvlLbl val="0"/>
      </c:catAx>
      <c:valAx>
        <c:axId val="52841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42244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Number Of Threads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Sheet1!$U$52</c:f>
              <c:strCache>
                <c:ptCount val="1"/>
                <c:pt idx="0">
                  <c:v>1 Thread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Sheet1!$V$51:$X$51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Sheet1!$V$52:$X$52</c:f>
              <c:numCache>
                <c:formatCode>General</c:formatCode>
                <c:ptCount val="3"/>
                <c:pt idx="0">
                  <c:v>3.662E-2</c:v>
                </c:pt>
                <c:pt idx="1">
                  <c:v>6.1695000000000002</c:v>
                </c:pt>
                <c:pt idx="2">
                  <c:v>1.96218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D-4914-B91D-1D48D2BE2546}"/>
            </c:ext>
          </c:extLst>
        </c:ser>
        <c:ser>
          <c:idx val="1"/>
          <c:order val="1"/>
          <c:tx>
            <c:strRef>
              <c:f>Sheet1!$U$53</c:f>
              <c:strCache>
                <c:ptCount val="1"/>
                <c:pt idx="0">
                  <c:v>2 Threads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Sheet1!$V$51:$X$51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Sheet1!$V$53:$X$53</c:f>
              <c:numCache>
                <c:formatCode>General</c:formatCode>
                <c:ptCount val="3"/>
                <c:pt idx="0">
                  <c:v>0.10242</c:v>
                </c:pt>
                <c:pt idx="1">
                  <c:v>2.6740200000000001</c:v>
                </c:pt>
                <c:pt idx="2">
                  <c:v>2.1931000000000003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6D-4914-B91D-1D48D2BE2546}"/>
            </c:ext>
          </c:extLst>
        </c:ser>
        <c:ser>
          <c:idx val="2"/>
          <c:order val="2"/>
          <c:tx>
            <c:strRef>
              <c:f>Sheet1!$U$54</c:f>
              <c:strCache>
                <c:ptCount val="1"/>
                <c:pt idx="0">
                  <c:v>4 Threads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Sheet1!$V$51:$X$51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Sheet1!$V$54:$X$54</c:f>
              <c:numCache>
                <c:formatCode>General</c:formatCode>
                <c:ptCount val="3"/>
                <c:pt idx="0">
                  <c:v>0.37554000000000004</c:v>
                </c:pt>
                <c:pt idx="1">
                  <c:v>3.7866600000000004</c:v>
                </c:pt>
                <c:pt idx="2">
                  <c:v>2.92062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6D-4914-B91D-1D48D2BE2546}"/>
            </c:ext>
          </c:extLst>
        </c:ser>
        <c:ser>
          <c:idx val="3"/>
          <c:order val="3"/>
          <c:tx>
            <c:strRef>
              <c:f>Sheet1!$U$55</c:f>
              <c:strCache>
                <c:ptCount val="1"/>
                <c:pt idx="0">
                  <c:v>8 Threads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Sheet1!$V$51:$X$51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Sheet1!$V$55:$X$55</c:f>
              <c:numCache>
                <c:formatCode>General</c:formatCode>
                <c:ptCount val="3"/>
                <c:pt idx="0">
                  <c:v>1.3085599999999999</c:v>
                </c:pt>
                <c:pt idx="1">
                  <c:v>6.6341999999999999</c:v>
                </c:pt>
                <c:pt idx="2">
                  <c:v>4.6387599999999996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FC8-4D4C-AA2E-033F79D61850}"/>
            </c:ext>
          </c:extLst>
        </c:ser>
        <c:ser>
          <c:idx val="4"/>
          <c:order val="4"/>
          <c:tx>
            <c:strRef>
              <c:f>Sheet1!$U$56</c:f>
              <c:strCache>
                <c:ptCount val="1"/>
                <c:pt idx="0">
                  <c:v>12 Threads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Sheet1!$V$51:$X$51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Sheet1!$V$56:$X$56</c:f>
              <c:numCache>
                <c:formatCode>General</c:formatCode>
                <c:ptCount val="3"/>
                <c:pt idx="0">
                  <c:v>2.7983200000000004</c:v>
                </c:pt>
                <c:pt idx="1">
                  <c:v>9.4447400000000012</c:v>
                </c:pt>
                <c:pt idx="2">
                  <c:v>7.3986400000000003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FC8-4D4C-AA2E-033F79D61850}"/>
            </c:ext>
          </c:extLst>
        </c:ser>
        <c:ser>
          <c:idx val="5"/>
          <c:order val="5"/>
          <c:tx>
            <c:strRef>
              <c:f>Sheet1!$U$57</c:f>
              <c:strCache>
                <c:ptCount val="1"/>
                <c:pt idx="0">
                  <c:v>16 Threads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Sheet1!$V$51:$X$51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Sheet1!$V$57:$X$57</c:f>
              <c:numCache>
                <c:formatCode>General</c:formatCode>
                <c:ptCount val="3"/>
                <c:pt idx="0">
                  <c:v>5.7613800000000008</c:v>
                </c:pt>
                <c:pt idx="1">
                  <c:v>12.090579999999999</c:v>
                </c:pt>
                <c:pt idx="2">
                  <c:v>7.9053399999999998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FC8-4D4C-AA2E-033F79D61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528422447"/>
        <c:axId val="528413327"/>
      </c:barChart>
      <c:catAx>
        <c:axId val="528422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413327"/>
        <c:crosses val="autoZero"/>
        <c:auto val="1"/>
        <c:lblAlgn val="ctr"/>
        <c:lblOffset val="100"/>
        <c:noMultiLvlLbl val="0"/>
      </c:catAx>
      <c:valAx>
        <c:axId val="52841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42244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Content Size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Sheet1!$U$82</c:f>
              <c:strCache>
                <c:ptCount val="1"/>
                <c:pt idx="0">
                  <c:v>516 Bytes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Sheet1!$V$81:$X$81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Sheet1!$V$82:$X$82</c:f>
              <c:numCache>
                <c:formatCode>General</c:formatCode>
                <c:ptCount val="3"/>
                <c:pt idx="0">
                  <c:v>2.6680800000000002</c:v>
                </c:pt>
                <c:pt idx="1">
                  <c:v>8.8397199999999998</c:v>
                </c:pt>
                <c:pt idx="2">
                  <c:v>7.2908600000000003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D-4914-B91D-1D48D2BE2546}"/>
            </c:ext>
          </c:extLst>
        </c:ser>
        <c:ser>
          <c:idx val="1"/>
          <c:order val="1"/>
          <c:tx>
            <c:strRef>
              <c:f>Sheet1!$U$83</c:f>
              <c:strCache>
                <c:ptCount val="1"/>
                <c:pt idx="0">
                  <c:v>1024 Bytes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Sheet1!$V$81:$X$81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Sheet1!$V$83:$X$83</c:f>
              <c:numCache>
                <c:formatCode>General</c:formatCode>
                <c:ptCount val="3"/>
                <c:pt idx="0">
                  <c:v>2.6248800000000001</c:v>
                </c:pt>
                <c:pt idx="1">
                  <c:v>9.1209799999999994</c:v>
                </c:pt>
                <c:pt idx="2">
                  <c:v>6.4568399999999997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6D-4914-B91D-1D48D2BE2546}"/>
            </c:ext>
          </c:extLst>
        </c:ser>
        <c:ser>
          <c:idx val="2"/>
          <c:order val="2"/>
          <c:tx>
            <c:strRef>
              <c:f>Sheet1!$U$84</c:f>
              <c:strCache>
                <c:ptCount val="1"/>
                <c:pt idx="0">
                  <c:v>2048 Bytes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Sheet1!$V$81:$X$81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Sheet1!$V$84:$X$84</c:f>
              <c:numCache>
                <c:formatCode>General</c:formatCode>
                <c:ptCount val="3"/>
                <c:pt idx="0">
                  <c:v>2.74024</c:v>
                </c:pt>
                <c:pt idx="1">
                  <c:v>9.0408600000000003</c:v>
                </c:pt>
                <c:pt idx="2">
                  <c:v>6.9042200000000005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6D-4914-B91D-1D48D2BE2546}"/>
            </c:ext>
          </c:extLst>
        </c:ser>
        <c:ser>
          <c:idx val="3"/>
          <c:order val="3"/>
          <c:tx>
            <c:strRef>
              <c:f>Sheet1!$U$85</c:f>
              <c:strCache>
                <c:ptCount val="1"/>
                <c:pt idx="0">
                  <c:v>4096 Bytes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Sheet1!$V$81:$X$81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Sheet1!$V$85:$X$85</c:f>
              <c:numCache>
                <c:formatCode>General</c:formatCode>
                <c:ptCount val="3"/>
                <c:pt idx="0">
                  <c:v>2.7883000000000004</c:v>
                </c:pt>
                <c:pt idx="1">
                  <c:v>9.294220000000001</c:v>
                </c:pt>
                <c:pt idx="2">
                  <c:v>6.5679800000000004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812-4F77-8EE7-6791B780298B}"/>
            </c:ext>
          </c:extLst>
        </c:ser>
        <c:ser>
          <c:idx val="4"/>
          <c:order val="4"/>
          <c:tx>
            <c:strRef>
              <c:f>Sheet1!$U$86</c:f>
              <c:strCache>
                <c:ptCount val="1"/>
                <c:pt idx="0">
                  <c:v>8192 Bytes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Sheet1!$V$81:$X$81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Sheet1!$V$86:$X$86</c:f>
              <c:numCache>
                <c:formatCode>General</c:formatCode>
                <c:ptCount val="3"/>
                <c:pt idx="0">
                  <c:v>2.8967000000000001</c:v>
                </c:pt>
                <c:pt idx="1">
                  <c:v>9.4439600000000006</c:v>
                </c:pt>
                <c:pt idx="2">
                  <c:v>6.747300000000001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812-4F77-8EE7-6791B780298B}"/>
            </c:ext>
          </c:extLst>
        </c:ser>
        <c:ser>
          <c:idx val="5"/>
          <c:order val="5"/>
          <c:tx>
            <c:strRef>
              <c:f>Sheet1!$U$87</c:f>
              <c:strCache>
                <c:ptCount val="1"/>
                <c:pt idx="0">
                  <c:v>16384 Bytes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Sheet1!$V$81:$X$81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Sheet1!$V$87:$X$87</c:f>
              <c:numCache>
                <c:formatCode>General</c:formatCode>
                <c:ptCount val="3"/>
                <c:pt idx="0">
                  <c:v>2.4637599999999997</c:v>
                </c:pt>
                <c:pt idx="1">
                  <c:v>9.6090199999999992</c:v>
                </c:pt>
                <c:pt idx="2">
                  <c:v>5.5501200000000006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812-4F77-8EE7-6791B7802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528422447"/>
        <c:axId val="528413327"/>
      </c:barChart>
      <c:catAx>
        <c:axId val="528422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413327"/>
        <c:crosses val="autoZero"/>
        <c:auto val="1"/>
        <c:lblAlgn val="ctr"/>
        <c:lblOffset val="100"/>
        <c:noMultiLvlLbl val="0"/>
      </c:catAx>
      <c:valAx>
        <c:axId val="52841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42244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Entries Per Page (EPP)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Sheet1!$U$108</c:f>
              <c:strCache>
                <c:ptCount val="1"/>
                <c:pt idx="0">
                  <c:v>10 EPP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Sheet1!$V$107:$X$107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Sheet1!$V$108:$X$108</c:f>
              <c:numCache>
                <c:formatCode>General</c:formatCode>
                <c:ptCount val="3"/>
                <c:pt idx="0">
                  <c:v>2.7425000000000002</c:v>
                </c:pt>
                <c:pt idx="1">
                  <c:v>9.2291000000000007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D-4914-B91D-1D48D2BE2546}"/>
            </c:ext>
          </c:extLst>
        </c:ser>
        <c:ser>
          <c:idx val="1"/>
          <c:order val="1"/>
          <c:tx>
            <c:strRef>
              <c:f>Sheet1!$U$109</c:f>
              <c:strCache>
                <c:ptCount val="1"/>
                <c:pt idx="0">
                  <c:v>50 EPP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Sheet1!$V$107:$X$107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Sheet1!$V$109:$X$109</c:f>
              <c:numCache>
                <c:formatCode>General</c:formatCode>
                <c:ptCount val="3"/>
                <c:pt idx="0">
                  <c:v>2.7911799999999998</c:v>
                </c:pt>
                <c:pt idx="1">
                  <c:v>9.3458000000000006</c:v>
                </c:pt>
                <c:pt idx="2">
                  <c:v>3.4637599999999997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6D-4914-B91D-1D48D2BE2546}"/>
            </c:ext>
          </c:extLst>
        </c:ser>
        <c:ser>
          <c:idx val="2"/>
          <c:order val="2"/>
          <c:tx>
            <c:strRef>
              <c:f>Sheet1!$U$110</c:f>
              <c:strCache>
                <c:ptCount val="1"/>
                <c:pt idx="0">
                  <c:v>100 EPP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Sheet1!$V$107:$X$107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Sheet1!$V$110:$X$110</c:f>
              <c:numCache>
                <c:formatCode>General</c:formatCode>
                <c:ptCount val="3"/>
                <c:pt idx="0">
                  <c:v>2.7591799999999997</c:v>
                </c:pt>
                <c:pt idx="1">
                  <c:v>9.5274999999999981</c:v>
                </c:pt>
                <c:pt idx="2">
                  <c:v>7.0655599999999996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6D-4914-B91D-1D48D2BE2546}"/>
            </c:ext>
          </c:extLst>
        </c:ser>
        <c:ser>
          <c:idx val="3"/>
          <c:order val="3"/>
          <c:tx>
            <c:strRef>
              <c:f>Sheet1!$U$111</c:f>
              <c:strCache>
                <c:ptCount val="1"/>
                <c:pt idx="0">
                  <c:v>500 EPP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Sheet1!$V$107:$X$107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Sheet1!$V$111:$X$111</c:f>
              <c:numCache>
                <c:formatCode>General</c:formatCode>
                <c:ptCount val="3"/>
                <c:pt idx="0">
                  <c:v>2.9680200000000001</c:v>
                </c:pt>
                <c:pt idx="1">
                  <c:v>9.6763000000000012</c:v>
                </c:pt>
                <c:pt idx="2">
                  <c:v>33.874980000000008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F2-4808-8235-DB0961517D5F}"/>
            </c:ext>
          </c:extLst>
        </c:ser>
        <c:ser>
          <c:idx val="4"/>
          <c:order val="4"/>
          <c:tx>
            <c:strRef>
              <c:f>Sheet1!$U$112</c:f>
              <c:strCache>
                <c:ptCount val="1"/>
                <c:pt idx="0">
                  <c:v>1000 EPP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Sheet1!$V$107:$X$107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Sheet1!$V$112:$X$112</c:f>
              <c:numCache>
                <c:formatCode>General</c:formatCode>
                <c:ptCount val="3"/>
                <c:pt idx="0">
                  <c:v>2.9426999999999999</c:v>
                </c:pt>
                <c:pt idx="1">
                  <c:v>9.6307799999999979</c:v>
                </c:pt>
                <c:pt idx="2">
                  <c:v>62.440579999999997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F2-4808-8235-DB0961517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528422447"/>
        <c:axId val="528413327"/>
      </c:barChart>
      <c:catAx>
        <c:axId val="528422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413327"/>
        <c:crosses val="autoZero"/>
        <c:auto val="1"/>
        <c:lblAlgn val="ctr"/>
        <c:lblOffset val="100"/>
        <c:noMultiLvlLbl val="0"/>
      </c:catAx>
      <c:valAx>
        <c:axId val="52841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42244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Signatures Per Entry (SPE)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Sheet1!$U$128</c:f>
              <c:strCache>
                <c:ptCount val="1"/>
                <c:pt idx="0">
                  <c:v>1 SPE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Sheet1!$V$127:$X$127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Sheet1!$V$128:$X$128</c:f>
              <c:numCache>
                <c:formatCode>General</c:formatCode>
                <c:ptCount val="3"/>
                <c:pt idx="0">
                  <c:v>1.8030599999999999</c:v>
                </c:pt>
                <c:pt idx="1">
                  <c:v>8.6924799999999998</c:v>
                </c:pt>
                <c:pt idx="2">
                  <c:v>7.1256399999999998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D-4914-B91D-1D48D2BE2546}"/>
            </c:ext>
          </c:extLst>
        </c:ser>
        <c:ser>
          <c:idx val="1"/>
          <c:order val="1"/>
          <c:tx>
            <c:strRef>
              <c:f>Sheet1!$U$129</c:f>
              <c:strCache>
                <c:ptCount val="1"/>
                <c:pt idx="0">
                  <c:v>3 SPE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Sheet1!$V$127:$X$127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Sheet1!$V$129:$X$129</c:f>
              <c:numCache>
                <c:formatCode>General</c:formatCode>
                <c:ptCount val="3"/>
                <c:pt idx="0">
                  <c:v>2.8712200000000001</c:v>
                </c:pt>
                <c:pt idx="1">
                  <c:v>9.4359000000000002</c:v>
                </c:pt>
                <c:pt idx="2">
                  <c:v>7.0386800000000012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6D-4914-B91D-1D48D2BE2546}"/>
            </c:ext>
          </c:extLst>
        </c:ser>
        <c:ser>
          <c:idx val="2"/>
          <c:order val="2"/>
          <c:tx>
            <c:strRef>
              <c:f>Sheet1!$U$130</c:f>
              <c:strCache>
                <c:ptCount val="1"/>
                <c:pt idx="0">
                  <c:v>5 SPE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Sheet1!$V$127:$X$127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Sheet1!$V$130:$X$130</c:f>
              <c:numCache>
                <c:formatCode>General</c:formatCode>
                <c:ptCount val="3"/>
                <c:pt idx="0">
                  <c:v>3.4492600000000002</c:v>
                </c:pt>
                <c:pt idx="1">
                  <c:v>9.5106000000000002</c:v>
                </c:pt>
                <c:pt idx="2">
                  <c:v>7.1377600000000001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6D-4914-B91D-1D48D2BE2546}"/>
            </c:ext>
          </c:extLst>
        </c:ser>
        <c:ser>
          <c:idx val="3"/>
          <c:order val="3"/>
          <c:tx>
            <c:strRef>
              <c:f>Sheet1!$U$131</c:f>
              <c:strCache>
                <c:ptCount val="1"/>
                <c:pt idx="0">
                  <c:v>10 SPE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Sheet1!$V$127:$X$127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Sheet1!$V$131:$X$131</c:f>
              <c:numCache>
                <c:formatCode>General</c:formatCode>
                <c:ptCount val="3"/>
                <c:pt idx="0">
                  <c:v>4.6837999999999997</c:v>
                </c:pt>
                <c:pt idx="1">
                  <c:v>9.6982999999999997</c:v>
                </c:pt>
                <c:pt idx="2">
                  <c:v>7.3391000000000002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60-4D51-8310-D696CAF84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528422447"/>
        <c:axId val="528413327"/>
      </c:barChart>
      <c:catAx>
        <c:axId val="528422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413327"/>
        <c:crosses val="autoZero"/>
        <c:auto val="1"/>
        <c:lblAlgn val="ctr"/>
        <c:lblOffset val="100"/>
        <c:noMultiLvlLbl val="0"/>
      </c:catAx>
      <c:valAx>
        <c:axId val="52841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42244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Number Of Entries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Sheet1!$U$152</c:f>
              <c:strCache>
                <c:ptCount val="1"/>
                <c:pt idx="0">
                  <c:v>1000 Entries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Sheet1!$V$151:$X$151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Sheet1!$V$152:$X$152</c:f>
              <c:numCache>
                <c:formatCode>General</c:formatCode>
                <c:ptCount val="3"/>
                <c:pt idx="0">
                  <c:v>3.4866800000000007</c:v>
                </c:pt>
                <c:pt idx="1">
                  <c:v>9.3901199999999996</c:v>
                </c:pt>
                <c:pt idx="2">
                  <c:v>6.6677200000000001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D-4914-B91D-1D48D2BE2546}"/>
            </c:ext>
          </c:extLst>
        </c:ser>
        <c:ser>
          <c:idx val="1"/>
          <c:order val="1"/>
          <c:tx>
            <c:strRef>
              <c:f>Sheet1!$U$153</c:f>
              <c:strCache>
                <c:ptCount val="1"/>
                <c:pt idx="0">
                  <c:v>5000 Entries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Sheet1!$V$151:$X$151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Sheet1!$V$153:$X$153</c:f>
              <c:numCache>
                <c:formatCode>General</c:formatCode>
                <c:ptCount val="3"/>
                <c:pt idx="0">
                  <c:v>2.4154600000000004</c:v>
                </c:pt>
                <c:pt idx="1">
                  <c:v>8.5633400000000002</c:v>
                </c:pt>
                <c:pt idx="2">
                  <c:v>5.5857399999999995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6D-4914-B91D-1D48D2BE2546}"/>
            </c:ext>
          </c:extLst>
        </c:ser>
        <c:ser>
          <c:idx val="2"/>
          <c:order val="2"/>
          <c:tx>
            <c:strRef>
              <c:f>Sheet1!$U$154</c:f>
              <c:strCache>
                <c:ptCount val="1"/>
                <c:pt idx="0">
                  <c:v>10000 Entries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Sheet1!$V$151:$X$151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Sheet1!$V$154:$X$154</c:f>
              <c:numCache>
                <c:formatCode>General</c:formatCode>
                <c:ptCount val="3"/>
                <c:pt idx="0">
                  <c:v>2.6128399999999998</c:v>
                </c:pt>
                <c:pt idx="1">
                  <c:v>9.5480400000000003</c:v>
                </c:pt>
                <c:pt idx="2">
                  <c:v>6.6702200000000005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6D-4914-B91D-1D48D2BE2546}"/>
            </c:ext>
          </c:extLst>
        </c:ser>
        <c:ser>
          <c:idx val="3"/>
          <c:order val="3"/>
          <c:tx>
            <c:strRef>
              <c:f>Sheet1!$U$155</c:f>
              <c:strCache>
                <c:ptCount val="1"/>
                <c:pt idx="0">
                  <c:v>50000 Entries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Sheet1!$V$151:$X$151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Sheet1!$V$155:$X$155</c:f>
              <c:numCache>
                <c:formatCode>General</c:formatCode>
                <c:ptCount val="3"/>
                <c:pt idx="0">
                  <c:v>2.22986</c:v>
                </c:pt>
                <c:pt idx="1">
                  <c:v>9.3476400000000002</c:v>
                </c:pt>
                <c:pt idx="2">
                  <c:v>6.6607200000000004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43A-4C8B-9E12-F90763930C6A}"/>
            </c:ext>
          </c:extLst>
        </c:ser>
        <c:ser>
          <c:idx val="4"/>
          <c:order val="4"/>
          <c:tx>
            <c:strRef>
              <c:f>Sheet1!$U$156</c:f>
              <c:strCache>
                <c:ptCount val="1"/>
                <c:pt idx="0">
                  <c:v>100000 Entries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Sheet1!$V$151:$X$151</c:f>
              <c:strCache>
                <c:ptCount val="3"/>
                <c:pt idx="0">
                  <c:v>Avg, Entry Creation (ms)</c:v>
                </c:pt>
                <c:pt idx="1">
                  <c:v>Avg, Entry Signature (ms)</c:v>
                </c:pt>
                <c:pt idx="2">
                  <c:v>Avg. Page Creation (ms)</c:v>
                </c:pt>
              </c:strCache>
            </c:strRef>
          </c:cat>
          <c:val>
            <c:numRef>
              <c:f>Sheet1!$V$156:$X$156</c:f>
              <c:numCache>
                <c:formatCode>General</c:formatCode>
                <c:ptCount val="3"/>
                <c:pt idx="0">
                  <c:v>2.3078799999999999</c:v>
                </c:pt>
                <c:pt idx="1">
                  <c:v>9.4823199999999996</c:v>
                </c:pt>
                <c:pt idx="2">
                  <c:v>6.6395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3A-4C8B-9E12-F90763930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528422447"/>
        <c:axId val="528413327"/>
      </c:barChart>
      <c:catAx>
        <c:axId val="528422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413327"/>
        <c:crosses val="autoZero"/>
        <c:auto val="1"/>
        <c:lblAlgn val="ctr"/>
        <c:lblOffset val="100"/>
        <c:noMultiLvlLbl val="0"/>
      </c:catAx>
      <c:valAx>
        <c:axId val="52841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42244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6037</xdr:colOff>
      <xdr:row>1</xdr:row>
      <xdr:rowOff>6368</xdr:rowOff>
    </xdr:from>
    <xdr:to>
      <xdr:col>34</xdr:col>
      <xdr:colOff>290917</xdr:colOff>
      <xdr:row>18</xdr:row>
      <xdr:rowOff>54428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A906C2-DC8A-3B3B-2978-6DFE84FAA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18430</xdr:colOff>
      <xdr:row>18</xdr:row>
      <xdr:rowOff>190499</xdr:rowOff>
    </xdr:from>
    <xdr:to>
      <xdr:col>34</xdr:col>
      <xdr:colOff>357747</xdr:colOff>
      <xdr:row>36</xdr:row>
      <xdr:rowOff>52878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BE87E46-7B5C-9A05-6FB9-438C31DB1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16963</xdr:colOff>
      <xdr:row>36</xdr:row>
      <xdr:rowOff>183956</xdr:rowOff>
    </xdr:from>
    <xdr:to>
      <xdr:col>34</xdr:col>
      <xdr:colOff>346895</xdr:colOff>
      <xdr:row>54</xdr:row>
      <xdr:rowOff>83535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0B5C6FA-6087-AA6E-1D38-DB50B72E2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16617</xdr:colOff>
      <xdr:row>54</xdr:row>
      <xdr:rowOff>167592</xdr:rowOff>
    </xdr:from>
    <xdr:to>
      <xdr:col>34</xdr:col>
      <xdr:colOff>357056</xdr:colOff>
      <xdr:row>72</xdr:row>
      <xdr:rowOff>92492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B6ECD6C-2455-3A60-E8BC-1C92C33F78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15565</xdr:colOff>
      <xdr:row>73</xdr:row>
      <xdr:rowOff>17569</xdr:rowOff>
    </xdr:from>
    <xdr:to>
      <xdr:col>34</xdr:col>
      <xdr:colOff>364292</xdr:colOff>
      <xdr:row>90</xdr:row>
      <xdr:rowOff>120964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304630F-6B17-FB85-B0DD-074587C12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607797</xdr:colOff>
      <xdr:row>90</xdr:row>
      <xdr:rowOff>187055</xdr:rowOff>
    </xdr:from>
    <xdr:to>
      <xdr:col>34</xdr:col>
      <xdr:colOff>314168</xdr:colOff>
      <xdr:row>108</xdr:row>
      <xdr:rowOff>118193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267A531-46D7-8C58-9AA4-E0BFD83D0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21704</xdr:colOff>
      <xdr:row>109</xdr:row>
      <xdr:rowOff>13262</xdr:rowOff>
    </xdr:from>
    <xdr:to>
      <xdr:col>34</xdr:col>
      <xdr:colOff>342589</xdr:colOff>
      <xdr:row>126</xdr:row>
      <xdr:rowOff>119744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B0C26CF-510D-2022-F13E-F2E0839BB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7"/>
  <sheetViews>
    <sheetView tabSelected="1" topLeftCell="K1" zoomScale="70" zoomScaleNormal="70" workbookViewId="0">
      <selection activeCell="S92" sqref="S92"/>
    </sheetView>
  </sheetViews>
  <sheetFormatPr defaultRowHeight="15" x14ac:dyDescent="0.25"/>
  <cols>
    <col min="1" max="1" width="22" bestFit="1" customWidth="1"/>
    <col min="2" max="2" width="25.28515625" bestFit="1" customWidth="1"/>
    <col min="3" max="3" width="20.5703125" bestFit="1" customWidth="1"/>
    <col min="4" max="4" width="25.28515625" bestFit="1" customWidth="1"/>
    <col min="5" max="5" width="23.42578125" bestFit="1" customWidth="1"/>
    <col min="6" max="7" width="24.42578125" bestFit="1" customWidth="1"/>
    <col min="8" max="8" width="15.85546875" bestFit="1" customWidth="1"/>
    <col min="9" max="9" width="20.5703125" bestFit="1" customWidth="1"/>
    <col min="10" max="10" width="15.28515625" bestFit="1" customWidth="1"/>
    <col min="11" max="11" width="18.85546875" bestFit="1" customWidth="1"/>
    <col min="12" max="12" width="33.85546875" bestFit="1" customWidth="1"/>
    <col min="13" max="13" width="35.28515625" bestFit="1" customWidth="1"/>
    <col min="14" max="14" width="34" customWidth="1"/>
    <col min="21" max="21" width="14" bestFit="1" customWidth="1"/>
    <col min="22" max="22" width="23" customWidth="1"/>
    <col min="23" max="23" width="24.5703125" customWidth="1"/>
    <col min="24" max="24" width="22.5703125" customWidth="1"/>
  </cols>
  <sheetData>
    <row r="1" spans="1:24" ht="19.5" thickBot="1" x14ac:dyDescent="0.35">
      <c r="A1" s="90" t="s">
        <v>7</v>
      </c>
      <c r="B1" s="91"/>
      <c r="C1" s="91"/>
      <c r="D1" s="91"/>
      <c r="E1" s="91"/>
      <c r="F1" s="91"/>
      <c r="G1" s="92"/>
      <c r="H1" s="90" t="s">
        <v>8</v>
      </c>
      <c r="I1" s="91"/>
      <c r="J1" s="92"/>
      <c r="K1" s="90" t="s">
        <v>14</v>
      </c>
      <c r="L1" s="91"/>
      <c r="M1" s="91"/>
      <c r="N1" s="92"/>
    </row>
    <row r="2" spans="1:24" ht="15.75" thickBot="1" x14ac:dyDescent="0.3">
      <c r="A2" s="58" t="s">
        <v>0</v>
      </c>
      <c r="B2" s="57" t="s">
        <v>1</v>
      </c>
      <c r="C2" s="57" t="s">
        <v>2</v>
      </c>
      <c r="D2" s="57" t="s">
        <v>3</v>
      </c>
      <c r="E2" s="57" t="s">
        <v>4</v>
      </c>
      <c r="F2" s="57" t="s">
        <v>6</v>
      </c>
      <c r="G2" s="59" t="s">
        <v>5</v>
      </c>
      <c r="H2" s="58" t="s">
        <v>9</v>
      </c>
      <c r="I2" s="57" t="s">
        <v>10</v>
      </c>
      <c r="J2" s="59" t="s">
        <v>11</v>
      </c>
      <c r="K2" s="18" t="s">
        <v>15</v>
      </c>
      <c r="L2" s="19" t="s">
        <v>16</v>
      </c>
      <c r="M2" s="19" t="s">
        <v>17</v>
      </c>
      <c r="N2" s="20" t="s">
        <v>18</v>
      </c>
    </row>
    <row r="3" spans="1:24" x14ac:dyDescent="0.25">
      <c r="A3" s="71">
        <v>10000</v>
      </c>
      <c r="B3" s="36">
        <v>3</v>
      </c>
      <c r="C3" s="36">
        <v>100</v>
      </c>
      <c r="D3" s="36">
        <v>2048</v>
      </c>
      <c r="E3" s="36">
        <v>12</v>
      </c>
      <c r="F3" s="36" t="s">
        <v>12</v>
      </c>
      <c r="G3" s="30" t="s">
        <v>13</v>
      </c>
      <c r="H3" s="32">
        <f t="shared" ref="H3:H18" si="0">A3</f>
        <v>10000</v>
      </c>
      <c r="I3" s="33">
        <f>A3*B3</f>
        <v>30000</v>
      </c>
      <c r="J3" s="34">
        <f>A3/C3</f>
        <v>100</v>
      </c>
      <c r="K3" s="60">
        <v>26543</v>
      </c>
      <c r="L3" s="45">
        <v>3.0350000000000001</v>
      </c>
      <c r="M3" s="45">
        <v>9.5772999999999993</v>
      </c>
      <c r="N3" s="30">
        <v>7.0204000000000004</v>
      </c>
    </row>
    <row r="4" spans="1:24" x14ac:dyDescent="0.25">
      <c r="A4" s="72">
        <v>10000</v>
      </c>
      <c r="B4" s="3">
        <v>3</v>
      </c>
      <c r="C4" s="3">
        <v>100</v>
      </c>
      <c r="D4" s="3">
        <v>2048</v>
      </c>
      <c r="E4" s="3">
        <v>12</v>
      </c>
      <c r="F4" s="3" t="s">
        <v>12</v>
      </c>
      <c r="G4" s="25" t="s">
        <v>13</v>
      </c>
      <c r="H4" s="5">
        <f t="shared" si="0"/>
        <v>10000</v>
      </c>
      <c r="I4" s="2">
        <f t="shared" ref="I4:I67" si="1">A4*B4</f>
        <v>30000</v>
      </c>
      <c r="J4" s="6">
        <f t="shared" ref="J4:J67" si="2">A4/C4</f>
        <v>100</v>
      </c>
      <c r="K4" s="61">
        <v>24090</v>
      </c>
      <c r="L4" s="27">
        <v>2.2543000000000002</v>
      </c>
      <c r="M4" s="27">
        <v>8.0860000000000003</v>
      </c>
      <c r="N4" s="25">
        <v>6.6742999999999997</v>
      </c>
    </row>
    <row r="5" spans="1:24" x14ac:dyDescent="0.25">
      <c r="A5" s="72">
        <v>10000</v>
      </c>
      <c r="B5" s="3">
        <v>3</v>
      </c>
      <c r="C5" s="3">
        <v>100</v>
      </c>
      <c r="D5" s="3">
        <v>2048</v>
      </c>
      <c r="E5" s="3">
        <v>12</v>
      </c>
      <c r="F5" s="3" t="s">
        <v>12</v>
      </c>
      <c r="G5" s="25" t="s">
        <v>13</v>
      </c>
      <c r="H5" s="5">
        <f t="shared" si="0"/>
        <v>10000</v>
      </c>
      <c r="I5" s="2">
        <f t="shared" si="1"/>
        <v>30000</v>
      </c>
      <c r="J5" s="6">
        <f t="shared" si="2"/>
        <v>100</v>
      </c>
      <c r="K5" s="61">
        <v>23522</v>
      </c>
      <c r="L5" s="27">
        <v>2.1013999999999999</v>
      </c>
      <c r="M5" s="27">
        <v>8.6923999999999992</v>
      </c>
      <c r="N5" s="25">
        <v>6.7595000000000001</v>
      </c>
    </row>
    <row r="6" spans="1:24" x14ac:dyDescent="0.25">
      <c r="A6" s="72">
        <v>10000</v>
      </c>
      <c r="B6" s="3">
        <v>3</v>
      </c>
      <c r="C6" s="3">
        <v>100</v>
      </c>
      <c r="D6" s="3">
        <v>2048</v>
      </c>
      <c r="E6" s="3">
        <v>12</v>
      </c>
      <c r="F6" s="3" t="s">
        <v>12</v>
      </c>
      <c r="G6" s="25" t="s">
        <v>13</v>
      </c>
      <c r="H6" s="5">
        <f t="shared" si="0"/>
        <v>10000</v>
      </c>
      <c r="I6" s="2">
        <f t="shared" si="1"/>
        <v>30000</v>
      </c>
      <c r="J6" s="6">
        <f t="shared" si="2"/>
        <v>100</v>
      </c>
      <c r="K6" s="61">
        <v>24295</v>
      </c>
      <c r="L6" s="27">
        <v>2.1970999999999998</v>
      </c>
      <c r="M6" s="27">
        <v>8.9730000000000008</v>
      </c>
      <c r="N6" s="25">
        <v>6.9870000000000001</v>
      </c>
    </row>
    <row r="7" spans="1:24" x14ac:dyDescent="0.25">
      <c r="A7" s="72">
        <v>10000</v>
      </c>
      <c r="B7" s="3">
        <v>3</v>
      </c>
      <c r="C7" s="3">
        <v>100</v>
      </c>
      <c r="D7" s="3">
        <v>2048</v>
      </c>
      <c r="E7" s="3">
        <v>12</v>
      </c>
      <c r="F7" s="3" t="s">
        <v>12</v>
      </c>
      <c r="G7" s="25" t="s">
        <v>13</v>
      </c>
      <c r="H7" s="5">
        <f t="shared" si="0"/>
        <v>10000</v>
      </c>
      <c r="I7" s="2">
        <f t="shared" si="1"/>
        <v>30000</v>
      </c>
      <c r="J7" s="6">
        <f t="shared" si="2"/>
        <v>100</v>
      </c>
      <c r="K7" s="61">
        <v>25811</v>
      </c>
      <c r="L7" s="27">
        <v>2.8978999999999999</v>
      </c>
      <c r="M7" s="27">
        <v>9.3411000000000008</v>
      </c>
      <c r="N7" s="25">
        <v>7.3475000000000001</v>
      </c>
      <c r="P7" s="49">
        <f>SUM(K3:K7)/5</f>
        <v>24852.2</v>
      </c>
      <c r="Q7" s="49">
        <f>SUM(L3:L7)/5</f>
        <v>2.4971400000000004</v>
      </c>
      <c r="R7" s="49">
        <f>SUM(M3:M7)/5</f>
        <v>8.933959999999999</v>
      </c>
      <c r="S7" s="49">
        <f>SUM(N3:N7)/5</f>
        <v>6.9577400000000011</v>
      </c>
    </row>
    <row r="8" spans="1:24" x14ac:dyDescent="0.25">
      <c r="A8" s="72">
        <v>10000</v>
      </c>
      <c r="B8" s="3">
        <v>3</v>
      </c>
      <c r="C8" s="3">
        <v>100</v>
      </c>
      <c r="D8" s="3">
        <v>2048</v>
      </c>
      <c r="E8" s="3">
        <v>12</v>
      </c>
      <c r="F8" s="3" t="s">
        <v>12</v>
      </c>
      <c r="G8" s="24" t="s">
        <v>20</v>
      </c>
      <c r="H8" s="5">
        <f t="shared" si="0"/>
        <v>10000</v>
      </c>
      <c r="I8" s="2">
        <f t="shared" si="1"/>
        <v>30000</v>
      </c>
      <c r="J8" s="6">
        <f t="shared" si="2"/>
        <v>100</v>
      </c>
      <c r="K8" s="62">
        <v>25254</v>
      </c>
      <c r="L8" s="28">
        <v>2.8647</v>
      </c>
      <c r="M8" s="28">
        <v>9.1298999999999992</v>
      </c>
      <c r="N8" s="24">
        <v>13.075100000000001</v>
      </c>
    </row>
    <row r="9" spans="1:24" x14ac:dyDescent="0.25">
      <c r="A9" s="72">
        <v>10000</v>
      </c>
      <c r="B9" s="3">
        <v>3</v>
      </c>
      <c r="C9" s="3">
        <v>100</v>
      </c>
      <c r="D9" s="3">
        <v>2048</v>
      </c>
      <c r="E9" s="3">
        <v>12</v>
      </c>
      <c r="F9" s="3" t="s">
        <v>12</v>
      </c>
      <c r="G9" s="24" t="s">
        <v>20</v>
      </c>
      <c r="H9" s="5">
        <f t="shared" si="0"/>
        <v>10000</v>
      </c>
      <c r="I9" s="2">
        <f t="shared" si="1"/>
        <v>30000</v>
      </c>
      <c r="J9" s="6">
        <f t="shared" si="2"/>
        <v>100</v>
      </c>
      <c r="K9" s="62">
        <v>25346</v>
      </c>
      <c r="L9" s="28">
        <v>2.7136999999999998</v>
      </c>
      <c r="M9" s="28">
        <v>9.2197999999999993</v>
      </c>
      <c r="N9" s="24">
        <v>12.789199999999999</v>
      </c>
    </row>
    <row r="10" spans="1:24" x14ac:dyDescent="0.25">
      <c r="A10" s="72">
        <v>10000</v>
      </c>
      <c r="B10" s="3">
        <v>3</v>
      </c>
      <c r="C10" s="3">
        <v>100</v>
      </c>
      <c r="D10" s="3">
        <v>2048</v>
      </c>
      <c r="E10" s="3">
        <v>12</v>
      </c>
      <c r="F10" s="3" t="s">
        <v>12</v>
      </c>
      <c r="G10" s="24" t="s">
        <v>20</v>
      </c>
      <c r="H10" s="5">
        <f t="shared" si="0"/>
        <v>10000</v>
      </c>
      <c r="I10" s="2">
        <f t="shared" si="1"/>
        <v>30000</v>
      </c>
      <c r="J10" s="6">
        <f t="shared" si="2"/>
        <v>100</v>
      </c>
      <c r="K10" s="62">
        <v>24970</v>
      </c>
      <c r="L10" s="28">
        <v>2.831</v>
      </c>
      <c r="M10" s="28">
        <v>9.032</v>
      </c>
      <c r="N10" s="24">
        <v>12.9133</v>
      </c>
    </row>
    <row r="11" spans="1:24" x14ac:dyDescent="0.25">
      <c r="A11" s="72">
        <v>10000</v>
      </c>
      <c r="B11" s="3">
        <v>3</v>
      </c>
      <c r="C11" s="3">
        <v>100</v>
      </c>
      <c r="D11" s="3">
        <v>2048</v>
      </c>
      <c r="E11" s="3">
        <v>12</v>
      </c>
      <c r="F11" s="3" t="s">
        <v>12</v>
      </c>
      <c r="G11" s="24" t="s">
        <v>20</v>
      </c>
      <c r="H11" s="5">
        <f t="shared" si="0"/>
        <v>10000</v>
      </c>
      <c r="I11" s="2">
        <f t="shared" si="1"/>
        <v>30000</v>
      </c>
      <c r="J11" s="6">
        <f t="shared" si="2"/>
        <v>100</v>
      </c>
      <c r="K11" s="62">
        <v>25508</v>
      </c>
      <c r="L11" s="28">
        <v>2.7389999999999999</v>
      </c>
      <c r="M11" s="28">
        <v>9.2758000000000003</v>
      </c>
      <c r="N11" s="24">
        <v>12.839399999999999</v>
      </c>
    </row>
    <row r="12" spans="1:24" x14ac:dyDescent="0.25">
      <c r="A12" s="72">
        <v>10000</v>
      </c>
      <c r="B12" s="3">
        <v>3</v>
      </c>
      <c r="C12" s="3">
        <v>100</v>
      </c>
      <c r="D12" s="3">
        <v>2048</v>
      </c>
      <c r="E12" s="3">
        <v>12</v>
      </c>
      <c r="F12" s="3" t="s">
        <v>12</v>
      </c>
      <c r="G12" s="24" t="s">
        <v>20</v>
      </c>
      <c r="H12" s="15">
        <f t="shared" si="0"/>
        <v>10000</v>
      </c>
      <c r="I12" s="2">
        <f t="shared" si="1"/>
        <v>30000</v>
      </c>
      <c r="J12" s="6">
        <f t="shared" si="2"/>
        <v>100</v>
      </c>
      <c r="K12" s="62">
        <v>26471</v>
      </c>
      <c r="L12" s="28">
        <v>3.1831</v>
      </c>
      <c r="M12" s="28">
        <v>9.5084999999999997</v>
      </c>
      <c r="N12" s="24">
        <v>15.3583</v>
      </c>
      <c r="P12" s="48">
        <f>SUM(K8:K12)/5</f>
        <v>25509.8</v>
      </c>
      <c r="Q12" s="48">
        <f>SUM(L8:L12)/5</f>
        <v>2.8662999999999998</v>
      </c>
      <c r="R12" s="48">
        <f>SUM(M8:M12)/5</f>
        <v>9.2332000000000001</v>
      </c>
      <c r="S12" s="48">
        <f>SUM(N8:N12)/5</f>
        <v>13.395060000000001</v>
      </c>
    </row>
    <row r="13" spans="1:24" x14ac:dyDescent="0.25">
      <c r="A13" s="72">
        <v>10000</v>
      </c>
      <c r="B13" s="3">
        <v>3</v>
      </c>
      <c r="C13" s="3">
        <v>100</v>
      </c>
      <c r="D13" s="3">
        <v>2048</v>
      </c>
      <c r="E13" s="3">
        <v>12</v>
      </c>
      <c r="F13" s="3" t="s">
        <v>12</v>
      </c>
      <c r="G13" s="23" t="s">
        <v>21</v>
      </c>
      <c r="H13" s="15">
        <f t="shared" si="0"/>
        <v>10000</v>
      </c>
      <c r="I13" s="2">
        <f t="shared" si="1"/>
        <v>30000</v>
      </c>
      <c r="J13" s="6">
        <f t="shared" si="2"/>
        <v>100</v>
      </c>
      <c r="K13" s="63">
        <v>26432</v>
      </c>
      <c r="L13" s="38">
        <v>2.9419</v>
      </c>
      <c r="M13" s="38">
        <v>9.5768000000000004</v>
      </c>
      <c r="N13" s="23">
        <v>7.4116</v>
      </c>
    </row>
    <row r="14" spans="1:24" x14ac:dyDescent="0.25">
      <c r="A14" s="72">
        <v>10000</v>
      </c>
      <c r="B14" s="3">
        <v>3</v>
      </c>
      <c r="C14" s="3">
        <v>100</v>
      </c>
      <c r="D14" s="3">
        <v>2048</v>
      </c>
      <c r="E14" s="3">
        <v>12</v>
      </c>
      <c r="F14" s="3" t="s">
        <v>12</v>
      </c>
      <c r="G14" s="23" t="s">
        <v>21</v>
      </c>
      <c r="H14" s="5">
        <f t="shared" si="0"/>
        <v>10000</v>
      </c>
      <c r="I14" s="2">
        <f t="shared" si="1"/>
        <v>30000</v>
      </c>
      <c r="J14" s="6">
        <f t="shared" si="2"/>
        <v>100</v>
      </c>
      <c r="K14" s="63">
        <v>25828</v>
      </c>
      <c r="L14" s="38">
        <v>2.6739000000000002</v>
      </c>
      <c r="M14" s="38">
        <v>9.4251000000000005</v>
      </c>
      <c r="N14" s="23">
        <v>6.4927000000000001</v>
      </c>
      <c r="U14" t="s">
        <v>7</v>
      </c>
      <c r="V14" s="89" t="s">
        <v>22</v>
      </c>
      <c r="W14" s="89" t="s">
        <v>23</v>
      </c>
      <c r="X14" s="89" t="s">
        <v>24</v>
      </c>
    </row>
    <row r="15" spans="1:24" x14ac:dyDescent="0.25">
      <c r="A15" s="72">
        <v>10000</v>
      </c>
      <c r="B15" s="3">
        <v>3</v>
      </c>
      <c r="C15" s="3">
        <v>100</v>
      </c>
      <c r="D15" s="3">
        <v>2048</v>
      </c>
      <c r="E15" s="3">
        <v>12</v>
      </c>
      <c r="F15" s="3" t="s">
        <v>12</v>
      </c>
      <c r="G15" s="23" t="s">
        <v>21</v>
      </c>
      <c r="H15" s="5">
        <f t="shared" si="0"/>
        <v>10000</v>
      </c>
      <c r="I15" s="2">
        <f t="shared" si="1"/>
        <v>30000</v>
      </c>
      <c r="J15" s="6">
        <f t="shared" si="2"/>
        <v>100</v>
      </c>
      <c r="K15" s="63">
        <v>26295</v>
      </c>
      <c r="L15" s="38">
        <v>2.9863</v>
      </c>
      <c r="M15" s="38">
        <v>9.5106000000000002</v>
      </c>
      <c r="N15" s="23">
        <v>6.6349999999999998</v>
      </c>
      <c r="U15" s="86" t="s">
        <v>13</v>
      </c>
      <c r="V15">
        <f>Q7</f>
        <v>2.4971400000000004</v>
      </c>
      <c r="W15">
        <f>R7</f>
        <v>8.933959999999999</v>
      </c>
      <c r="X15">
        <f>S7</f>
        <v>6.9577400000000011</v>
      </c>
    </row>
    <row r="16" spans="1:24" x14ac:dyDescent="0.25">
      <c r="A16" s="72">
        <v>10000</v>
      </c>
      <c r="B16" s="3">
        <v>3</v>
      </c>
      <c r="C16" s="3">
        <v>100</v>
      </c>
      <c r="D16" s="3">
        <v>2048</v>
      </c>
      <c r="E16" s="3">
        <v>12</v>
      </c>
      <c r="F16" s="3" t="s">
        <v>12</v>
      </c>
      <c r="G16" s="23" t="s">
        <v>21</v>
      </c>
      <c r="H16" s="5">
        <f t="shared" si="0"/>
        <v>10000</v>
      </c>
      <c r="I16" s="2">
        <f t="shared" si="1"/>
        <v>30000</v>
      </c>
      <c r="J16" s="6">
        <f t="shared" si="2"/>
        <v>100</v>
      </c>
      <c r="K16" s="63">
        <v>25395</v>
      </c>
      <c r="L16" s="38">
        <v>2.7021999999999999</v>
      </c>
      <c r="M16" s="38">
        <v>9.2423000000000002</v>
      </c>
      <c r="N16" s="23">
        <v>7.0640999999999998</v>
      </c>
      <c r="U16" s="87" t="s">
        <v>20</v>
      </c>
      <c r="V16">
        <f>Q12</f>
        <v>2.8662999999999998</v>
      </c>
      <c r="W16">
        <f>R12</f>
        <v>9.2332000000000001</v>
      </c>
      <c r="X16">
        <f>S12</f>
        <v>13.395060000000001</v>
      </c>
    </row>
    <row r="17" spans="1:24" ht="15.75" thickBot="1" x14ac:dyDescent="0.3">
      <c r="A17" s="73">
        <v>10000</v>
      </c>
      <c r="B17" s="13">
        <v>3</v>
      </c>
      <c r="C17" s="13">
        <v>100</v>
      </c>
      <c r="D17" s="13">
        <v>2048</v>
      </c>
      <c r="E17" s="13">
        <v>12</v>
      </c>
      <c r="F17" s="13" t="s">
        <v>12</v>
      </c>
      <c r="G17" s="31" t="s">
        <v>21</v>
      </c>
      <c r="H17" s="7">
        <f t="shared" si="0"/>
        <v>10000</v>
      </c>
      <c r="I17" s="8">
        <f t="shared" si="1"/>
        <v>30000</v>
      </c>
      <c r="J17" s="9">
        <f t="shared" si="2"/>
        <v>100</v>
      </c>
      <c r="K17" s="64">
        <v>25673</v>
      </c>
      <c r="L17" s="47">
        <v>2.8582999999999998</v>
      </c>
      <c r="M17" s="47">
        <v>9.3003</v>
      </c>
      <c r="N17" s="31">
        <v>7.1257999999999999</v>
      </c>
      <c r="P17" s="50">
        <f>SUM(K13:K17)/5</f>
        <v>25924.6</v>
      </c>
      <c r="Q17" s="50">
        <f>SUM(L13:L17)/5</f>
        <v>2.8325199999999997</v>
      </c>
      <c r="R17" s="50">
        <f>SUM(M13:M17)/5</f>
        <v>9.4110200000000006</v>
      </c>
      <c r="S17" s="50">
        <f>SUM(N13:N17)/5</f>
        <v>6.9458399999999996</v>
      </c>
      <c r="U17" s="88" t="s">
        <v>21</v>
      </c>
      <c r="V17">
        <f>Q17</f>
        <v>2.8325199999999997</v>
      </c>
      <c r="W17">
        <f>R17</f>
        <v>9.4110200000000006</v>
      </c>
      <c r="X17">
        <f>S17</f>
        <v>6.9458399999999996</v>
      </c>
    </row>
    <row r="18" spans="1:24" x14ac:dyDescent="0.25">
      <c r="A18" s="35">
        <v>10000</v>
      </c>
      <c r="B18" s="36">
        <v>3</v>
      </c>
      <c r="C18" s="36">
        <v>100</v>
      </c>
      <c r="D18" s="36">
        <v>2048</v>
      </c>
      <c r="E18" s="36">
        <v>12</v>
      </c>
      <c r="F18" s="45" t="s">
        <v>12</v>
      </c>
      <c r="G18" s="37" t="s">
        <v>13</v>
      </c>
      <c r="H18" s="32">
        <f t="shared" si="0"/>
        <v>10000</v>
      </c>
      <c r="I18" s="33">
        <f t="shared" si="1"/>
        <v>30000</v>
      </c>
      <c r="J18" s="34">
        <f t="shared" si="2"/>
        <v>100</v>
      </c>
      <c r="K18" s="65">
        <v>27765</v>
      </c>
      <c r="L18" s="26">
        <v>3.6198999999999999</v>
      </c>
      <c r="M18" s="26">
        <v>9.8681999999999999</v>
      </c>
      <c r="N18" s="39">
        <v>8.1348400000000005</v>
      </c>
    </row>
    <row r="19" spans="1:24" x14ac:dyDescent="0.25">
      <c r="A19" s="10">
        <v>10000</v>
      </c>
      <c r="B19" s="3">
        <v>3</v>
      </c>
      <c r="C19" s="3">
        <v>100</v>
      </c>
      <c r="D19" s="3">
        <v>2048</v>
      </c>
      <c r="E19" s="3">
        <v>12</v>
      </c>
      <c r="F19" s="27" t="s">
        <v>12</v>
      </c>
      <c r="G19" s="11" t="s">
        <v>13</v>
      </c>
      <c r="H19" s="5">
        <f t="shared" ref="H19:H22" si="3">A19</f>
        <v>10000</v>
      </c>
      <c r="I19" s="2">
        <f t="shared" si="1"/>
        <v>30000</v>
      </c>
      <c r="J19" s="6">
        <f t="shared" si="2"/>
        <v>100</v>
      </c>
      <c r="K19" s="61">
        <v>24838</v>
      </c>
      <c r="L19" s="27">
        <v>2.9615999999999998</v>
      </c>
      <c r="M19" s="27">
        <v>8.9623000000000008</v>
      </c>
      <c r="N19" s="25">
        <v>6.9638999999999998</v>
      </c>
    </row>
    <row r="20" spans="1:24" x14ac:dyDescent="0.25">
      <c r="A20" s="10">
        <v>10000</v>
      </c>
      <c r="B20" s="3">
        <v>3</v>
      </c>
      <c r="C20" s="3">
        <v>100</v>
      </c>
      <c r="D20" s="3">
        <v>2048</v>
      </c>
      <c r="E20" s="3">
        <v>12</v>
      </c>
      <c r="F20" s="27" t="s">
        <v>12</v>
      </c>
      <c r="G20" s="11" t="s">
        <v>13</v>
      </c>
      <c r="H20" s="5">
        <f t="shared" si="3"/>
        <v>10000</v>
      </c>
      <c r="I20" s="2">
        <f t="shared" si="1"/>
        <v>30000</v>
      </c>
      <c r="J20" s="6">
        <f t="shared" si="2"/>
        <v>100</v>
      </c>
      <c r="K20" s="61">
        <v>24875</v>
      </c>
      <c r="L20" s="27">
        <v>2.7988</v>
      </c>
      <c r="M20" s="27">
        <v>8.9944000000000006</v>
      </c>
      <c r="N20" s="25">
        <v>6.4966999999999997</v>
      </c>
    </row>
    <row r="21" spans="1:24" x14ac:dyDescent="0.25">
      <c r="A21" s="10">
        <v>10000</v>
      </c>
      <c r="B21" s="3">
        <v>3</v>
      </c>
      <c r="C21" s="3">
        <v>100</v>
      </c>
      <c r="D21" s="3">
        <v>2048</v>
      </c>
      <c r="E21" s="3">
        <v>12</v>
      </c>
      <c r="F21" s="27" t="s">
        <v>12</v>
      </c>
      <c r="G21" s="11" t="s">
        <v>13</v>
      </c>
      <c r="H21" s="5">
        <f t="shared" si="3"/>
        <v>10000</v>
      </c>
      <c r="I21" s="2">
        <f t="shared" si="1"/>
        <v>30000</v>
      </c>
      <c r="J21" s="6">
        <f t="shared" si="2"/>
        <v>100</v>
      </c>
      <c r="K21" s="61">
        <v>24925</v>
      </c>
      <c r="L21" s="27">
        <v>2.7822</v>
      </c>
      <c r="M21" s="27">
        <v>9.0214999999999996</v>
      </c>
      <c r="N21" s="25">
        <v>7.3201000000000001</v>
      </c>
    </row>
    <row r="22" spans="1:24" x14ac:dyDescent="0.25">
      <c r="A22" s="10">
        <v>10000</v>
      </c>
      <c r="B22" s="3">
        <v>3</v>
      </c>
      <c r="C22" s="3">
        <v>100</v>
      </c>
      <c r="D22" s="3">
        <v>2048</v>
      </c>
      <c r="E22" s="3">
        <v>12</v>
      </c>
      <c r="F22" s="27" t="s">
        <v>12</v>
      </c>
      <c r="G22" s="11" t="s">
        <v>13</v>
      </c>
      <c r="H22" s="5">
        <f t="shared" si="3"/>
        <v>10000</v>
      </c>
      <c r="I22" s="2">
        <f t="shared" si="1"/>
        <v>30000</v>
      </c>
      <c r="J22" s="6">
        <f t="shared" si="2"/>
        <v>100</v>
      </c>
      <c r="K22" s="61">
        <v>23688</v>
      </c>
      <c r="L22" s="27">
        <v>2.4870999999999999</v>
      </c>
      <c r="M22" s="27">
        <v>8.6288999999999998</v>
      </c>
      <c r="N22" s="25">
        <v>6.9397000000000002</v>
      </c>
      <c r="P22" s="49">
        <f t="shared" ref="P22" si="4">SUM(K18:K22)/5</f>
        <v>25218.2</v>
      </c>
      <c r="Q22" s="49">
        <f t="shared" ref="Q22" si="5">SUM(L18:L22)/5</f>
        <v>2.9299200000000001</v>
      </c>
      <c r="R22" s="49">
        <f t="shared" ref="R22" si="6">SUM(M18:M22)/5</f>
        <v>9.0950600000000001</v>
      </c>
      <c r="S22" s="49">
        <f t="shared" ref="S22" si="7">SUM(N18:N22)/5</f>
        <v>7.1710480000000008</v>
      </c>
    </row>
    <row r="23" spans="1:24" x14ac:dyDescent="0.25">
      <c r="A23" s="10">
        <v>10000</v>
      </c>
      <c r="B23" s="3">
        <v>3</v>
      </c>
      <c r="C23" s="3">
        <v>100</v>
      </c>
      <c r="D23" s="3">
        <v>2048</v>
      </c>
      <c r="E23" s="3">
        <v>12</v>
      </c>
      <c r="F23" s="28" t="s">
        <v>19</v>
      </c>
      <c r="G23" s="11" t="s">
        <v>13</v>
      </c>
      <c r="H23" s="5">
        <f t="shared" ref="H23" si="8">A23</f>
        <v>10000</v>
      </c>
      <c r="I23" s="2">
        <f t="shared" si="1"/>
        <v>30000</v>
      </c>
      <c r="J23" s="6">
        <f t="shared" si="2"/>
        <v>100</v>
      </c>
      <c r="K23" s="62">
        <v>20138</v>
      </c>
      <c r="L23" s="28">
        <v>0.32150000000000001</v>
      </c>
      <c r="M23" s="28">
        <v>7.9359000000000002</v>
      </c>
      <c r="N23" s="24">
        <v>5.7850999999999999</v>
      </c>
    </row>
    <row r="24" spans="1:24" x14ac:dyDescent="0.25">
      <c r="A24" s="10">
        <v>10000</v>
      </c>
      <c r="B24" s="3">
        <v>3</v>
      </c>
      <c r="C24" s="3">
        <v>100</v>
      </c>
      <c r="D24" s="3">
        <v>2048</v>
      </c>
      <c r="E24" s="3">
        <v>12</v>
      </c>
      <c r="F24" s="28" t="s">
        <v>19</v>
      </c>
      <c r="G24" s="11" t="s">
        <v>13</v>
      </c>
      <c r="H24" s="5">
        <f>A24</f>
        <v>10000</v>
      </c>
      <c r="I24" s="2">
        <f t="shared" si="1"/>
        <v>30000</v>
      </c>
      <c r="J24" s="6">
        <f t="shared" si="2"/>
        <v>100</v>
      </c>
      <c r="K24" s="62">
        <v>19595</v>
      </c>
      <c r="L24" s="28">
        <v>0.35360000000000003</v>
      </c>
      <c r="M24" s="28">
        <v>7.7045000000000003</v>
      </c>
      <c r="N24" s="24">
        <v>7.5480999999999998</v>
      </c>
    </row>
    <row r="25" spans="1:24" x14ac:dyDescent="0.25">
      <c r="A25" s="10">
        <v>10000</v>
      </c>
      <c r="B25" s="3">
        <v>3</v>
      </c>
      <c r="C25" s="3">
        <v>100</v>
      </c>
      <c r="D25" s="3">
        <v>2048</v>
      </c>
      <c r="E25" s="3">
        <v>12</v>
      </c>
      <c r="F25" s="28" t="s">
        <v>19</v>
      </c>
      <c r="G25" s="11" t="s">
        <v>13</v>
      </c>
      <c r="H25" s="5">
        <f>A25</f>
        <v>10000</v>
      </c>
      <c r="I25" s="2">
        <f t="shared" si="1"/>
        <v>30000</v>
      </c>
      <c r="J25" s="6">
        <f t="shared" si="2"/>
        <v>100</v>
      </c>
      <c r="K25" s="62">
        <v>19087</v>
      </c>
      <c r="L25" s="28">
        <v>0.2883</v>
      </c>
      <c r="M25" s="28">
        <v>7.5247000000000002</v>
      </c>
      <c r="N25" s="24">
        <v>5.5395000000000003</v>
      </c>
      <c r="U25" t="s">
        <v>7</v>
      </c>
      <c r="V25" s="89" t="s">
        <v>22</v>
      </c>
      <c r="W25" s="89" t="s">
        <v>23</v>
      </c>
      <c r="X25" s="89" t="s">
        <v>24</v>
      </c>
    </row>
    <row r="26" spans="1:24" x14ac:dyDescent="0.25">
      <c r="A26" s="10">
        <v>10000</v>
      </c>
      <c r="B26" s="3">
        <v>3</v>
      </c>
      <c r="C26" s="3">
        <v>100</v>
      </c>
      <c r="D26" s="3">
        <v>2048</v>
      </c>
      <c r="E26" s="3">
        <v>12</v>
      </c>
      <c r="F26" s="28" t="s">
        <v>19</v>
      </c>
      <c r="G26" s="11" t="s">
        <v>13</v>
      </c>
      <c r="H26" s="5">
        <f>A26</f>
        <v>10000</v>
      </c>
      <c r="I26" s="2">
        <f t="shared" si="1"/>
        <v>30000</v>
      </c>
      <c r="J26" s="6">
        <f t="shared" si="2"/>
        <v>100</v>
      </c>
      <c r="K26" s="62">
        <v>19067</v>
      </c>
      <c r="L26" s="28">
        <v>0.29699999999999999</v>
      </c>
      <c r="M26" s="28">
        <v>7.5164</v>
      </c>
      <c r="N26" s="24">
        <v>6.2595999999999998</v>
      </c>
      <c r="U26" s="27" t="s">
        <v>12</v>
      </c>
      <c r="V26">
        <f>Q22</f>
        <v>2.9299200000000001</v>
      </c>
      <c r="W26">
        <f>R22</f>
        <v>9.0950600000000001</v>
      </c>
      <c r="X26">
        <f>S22</f>
        <v>7.1710480000000008</v>
      </c>
    </row>
    <row r="27" spans="1:24" ht="15.75" thickBot="1" x14ac:dyDescent="0.3">
      <c r="A27" s="12">
        <v>10000</v>
      </c>
      <c r="B27" s="13">
        <v>3</v>
      </c>
      <c r="C27" s="13">
        <v>100</v>
      </c>
      <c r="D27" s="13">
        <v>2048</v>
      </c>
      <c r="E27" s="13">
        <v>12</v>
      </c>
      <c r="F27" s="29" t="s">
        <v>19</v>
      </c>
      <c r="G27" s="14" t="s">
        <v>13</v>
      </c>
      <c r="H27" s="7">
        <f>A27</f>
        <v>10000</v>
      </c>
      <c r="I27" s="8">
        <f t="shared" si="1"/>
        <v>30000</v>
      </c>
      <c r="J27" s="9">
        <f t="shared" si="2"/>
        <v>100</v>
      </c>
      <c r="K27" s="66">
        <v>18479</v>
      </c>
      <c r="L27" s="29">
        <v>0.2359</v>
      </c>
      <c r="M27" s="29">
        <v>7.3002000000000002</v>
      </c>
      <c r="N27" s="43">
        <v>5.8780000000000001</v>
      </c>
      <c r="P27" s="48">
        <f t="shared" ref="P27" si="9">SUM(K23:K27)/5</f>
        <v>19273.2</v>
      </c>
      <c r="Q27" s="48">
        <f t="shared" ref="Q27" si="10">SUM(L23:L27)/5</f>
        <v>0.29925999999999997</v>
      </c>
      <c r="R27" s="48">
        <f t="shared" ref="R27" si="11">SUM(M23:M27)/5</f>
        <v>7.5963400000000005</v>
      </c>
      <c r="S27" s="48">
        <f t="shared" ref="S27" si="12">SUM(N23:N27)/5</f>
        <v>6.2020600000000004</v>
      </c>
      <c r="U27" s="28" t="s">
        <v>19</v>
      </c>
      <c r="V27">
        <f>Q27</f>
        <v>0.29925999999999997</v>
      </c>
      <c r="W27">
        <f>R27</f>
        <v>7.5963400000000005</v>
      </c>
      <c r="X27">
        <f>S27</f>
        <v>6.2020600000000004</v>
      </c>
    </row>
    <row r="28" spans="1:24" x14ac:dyDescent="0.25">
      <c r="A28" s="35">
        <v>10000</v>
      </c>
      <c r="B28" s="36">
        <v>3</v>
      </c>
      <c r="C28" s="36">
        <v>100</v>
      </c>
      <c r="D28" s="36">
        <v>2048</v>
      </c>
      <c r="E28" s="45">
        <v>1</v>
      </c>
      <c r="F28" s="36" t="s">
        <v>12</v>
      </c>
      <c r="G28" s="37" t="s">
        <v>13</v>
      </c>
      <c r="H28" s="32">
        <f t="shared" ref="H28:H32" si="13">A28</f>
        <v>10000</v>
      </c>
      <c r="I28" s="33">
        <f t="shared" si="1"/>
        <v>30000</v>
      </c>
      <c r="J28" s="34">
        <f t="shared" si="2"/>
        <v>100</v>
      </c>
      <c r="K28" s="60">
        <v>65105</v>
      </c>
      <c r="L28" s="45">
        <v>5.4800000000000001E-2</v>
      </c>
      <c r="M28" s="45">
        <v>2.1474000000000002</v>
      </c>
      <c r="N28" s="30">
        <v>2.278</v>
      </c>
    </row>
    <row r="29" spans="1:24" x14ac:dyDescent="0.25">
      <c r="A29" s="10">
        <v>10000</v>
      </c>
      <c r="B29" s="3">
        <v>3</v>
      </c>
      <c r="C29" s="3">
        <v>100</v>
      </c>
      <c r="D29" s="3">
        <v>2048</v>
      </c>
      <c r="E29" s="27">
        <v>1</v>
      </c>
      <c r="F29" s="3" t="s">
        <v>12</v>
      </c>
      <c r="G29" s="11" t="s">
        <v>13</v>
      </c>
      <c r="H29" s="5">
        <f t="shared" si="13"/>
        <v>10000</v>
      </c>
      <c r="I29" s="2">
        <f t="shared" si="1"/>
        <v>30000</v>
      </c>
      <c r="J29" s="6">
        <f t="shared" si="2"/>
        <v>100</v>
      </c>
      <c r="K29" s="61">
        <v>63834</v>
      </c>
      <c r="L29" s="27">
        <v>3.04E-2</v>
      </c>
      <c r="M29" s="27">
        <v>2.1158000000000001</v>
      </c>
      <c r="N29" s="25">
        <v>1.8658999999999999</v>
      </c>
    </row>
    <row r="30" spans="1:24" x14ac:dyDescent="0.25">
      <c r="A30" s="10">
        <v>10000</v>
      </c>
      <c r="B30" s="3">
        <v>3</v>
      </c>
      <c r="C30" s="3">
        <v>100</v>
      </c>
      <c r="D30" s="3">
        <v>2048</v>
      </c>
      <c r="E30" s="27">
        <v>1</v>
      </c>
      <c r="F30" s="3" t="s">
        <v>12</v>
      </c>
      <c r="G30" s="11" t="s">
        <v>13</v>
      </c>
      <c r="H30" s="5">
        <f t="shared" si="13"/>
        <v>10000</v>
      </c>
      <c r="I30" s="2">
        <f t="shared" si="1"/>
        <v>30000</v>
      </c>
      <c r="J30" s="6">
        <f t="shared" si="2"/>
        <v>100</v>
      </c>
      <c r="K30" s="61">
        <v>65279</v>
      </c>
      <c r="L30" s="27">
        <v>3.2599999999999997E-2</v>
      </c>
      <c r="M30" s="27">
        <v>2.1621000000000001</v>
      </c>
      <c r="N30" s="25">
        <v>1.9331</v>
      </c>
    </row>
    <row r="31" spans="1:24" x14ac:dyDescent="0.25">
      <c r="A31" s="10">
        <v>10000</v>
      </c>
      <c r="B31" s="3">
        <v>3</v>
      </c>
      <c r="C31" s="3">
        <v>100</v>
      </c>
      <c r="D31" s="3">
        <v>2048</v>
      </c>
      <c r="E31" s="27">
        <v>1</v>
      </c>
      <c r="F31" s="3" t="s">
        <v>12</v>
      </c>
      <c r="G31" s="11" t="s">
        <v>13</v>
      </c>
      <c r="H31" s="5">
        <f t="shared" si="13"/>
        <v>10000</v>
      </c>
      <c r="I31" s="2">
        <f t="shared" si="1"/>
        <v>30000</v>
      </c>
      <c r="J31" s="6">
        <f t="shared" si="2"/>
        <v>100</v>
      </c>
      <c r="K31" s="61">
        <v>65231</v>
      </c>
      <c r="L31" s="27">
        <v>3.2300000000000002E-2</v>
      </c>
      <c r="M31" s="27">
        <v>2.1615000000000002</v>
      </c>
      <c r="N31" s="25">
        <v>1.8425</v>
      </c>
    </row>
    <row r="32" spans="1:24" x14ac:dyDescent="0.25">
      <c r="A32" s="10">
        <v>10000</v>
      </c>
      <c r="B32" s="3">
        <v>3</v>
      </c>
      <c r="C32" s="3">
        <v>100</v>
      </c>
      <c r="D32" s="3">
        <v>2048</v>
      </c>
      <c r="E32" s="27">
        <v>1</v>
      </c>
      <c r="F32" s="3" t="s">
        <v>12</v>
      </c>
      <c r="G32" s="11" t="s">
        <v>13</v>
      </c>
      <c r="H32" s="5">
        <f t="shared" si="13"/>
        <v>10000</v>
      </c>
      <c r="I32" s="2">
        <f t="shared" si="1"/>
        <v>30000</v>
      </c>
      <c r="J32" s="6">
        <f t="shared" si="2"/>
        <v>100</v>
      </c>
      <c r="K32" s="61">
        <v>65739</v>
      </c>
      <c r="L32" s="27">
        <v>3.3000000000000002E-2</v>
      </c>
      <c r="M32" s="27">
        <v>2.1778</v>
      </c>
      <c r="N32" s="25">
        <v>1.8914</v>
      </c>
      <c r="P32" s="49">
        <f t="shared" ref="P32" si="14">SUM(K28:K32)/5</f>
        <v>65037.599999999999</v>
      </c>
      <c r="Q32" s="49">
        <f t="shared" ref="Q32" si="15">SUM(L28:L32)/5</f>
        <v>3.662E-2</v>
      </c>
      <c r="R32" s="49">
        <v>6.1695000000000002</v>
      </c>
      <c r="S32" s="49">
        <f t="shared" ref="S32" si="16">SUM(N28:N32)/5</f>
        <v>1.96218</v>
      </c>
    </row>
    <row r="33" spans="1:19" x14ac:dyDescent="0.25">
      <c r="A33" s="10">
        <v>10000</v>
      </c>
      <c r="B33" s="3">
        <v>3</v>
      </c>
      <c r="C33" s="3">
        <v>100</v>
      </c>
      <c r="D33" s="3">
        <v>2048</v>
      </c>
      <c r="E33" s="28">
        <v>2</v>
      </c>
      <c r="F33" s="3" t="s">
        <v>12</v>
      </c>
      <c r="G33" s="11" t="s">
        <v>13</v>
      </c>
      <c r="H33" s="5">
        <f t="shared" ref="H33:H57" si="17">A33</f>
        <v>10000</v>
      </c>
      <c r="I33" s="2">
        <f t="shared" si="1"/>
        <v>30000</v>
      </c>
      <c r="J33" s="6">
        <f t="shared" si="2"/>
        <v>100</v>
      </c>
      <c r="K33" s="62">
        <v>43112</v>
      </c>
      <c r="L33" s="28">
        <v>0.1075</v>
      </c>
      <c r="M33" s="28">
        <v>2.8346</v>
      </c>
      <c r="N33" s="24">
        <v>2.3469000000000002</v>
      </c>
    </row>
    <row r="34" spans="1:19" x14ac:dyDescent="0.25">
      <c r="A34" s="10">
        <v>10000</v>
      </c>
      <c r="B34" s="3">
        <v>3</v>
      </c>
      <c r="C34" s="3">
        <v>100</v>
      </c>
      <c r="D34" s="3">
        <v>2048</v>
      </c>
      <c r="E34" s="28">
        <v>2</v>
      </c>
      <c r="F34" s="3" t="s">
        <v>12</v>
      </c>
      <c r="G34" s="11" t="s">
        <v>13</v>
      </c>
      <c r="H34" s="5">
        <f t="shared" si="17"/>
        <v>10000</v>
      </c>
      <c r="I34" s="2">
        <f t="shared" si="1"/>
        <v>30000</v>
      </c>
      <c r="J34" s="6">
        <f t="shared" si="2"/>
        <v>100</v>
      </c>
      <c r="K34" s="62">
        <v>40878</v>
      </c>
      <c r="L34" s="28">
        <v>0.1042</v>
      </c>
      <c r="M34" s="28">
        <v>2.6880000000000002</v>
      </c>
      <c r="N34" s="24">
        <v>2.2673999999999999</v>
      </c>
    </row>
    <row r="35" spans="1:19" x14ac:dyDescent="0.25">
      <c r="A35" s="10">
        <v>10000</v>
      </c>
      <c r="B35" s="3">
        <v>3</v>
      </c>
      <c r="C35" s="3">
        <v>100</v>
      </c>
      <c r="D35" s="3">
        <v>2048</v>
      </c>
      <c r="E35" s="28">
        <v>2</v>
      </c>
      <c r="F35" s="3" t="s">
        <v>12</v>
      </c>
      <c r="G35" s="11" t="s">
        <v>13</v>
      </c>
      <c r="H35" s="5">
        <f t="shared" si="17"/>
        <v>10000</v>
      </c>
      <c r="I35" s="2">
        <f t="shared" si="1"/>
        <v>30000</v>
      </c>
      <c r="J35" s="6">
        <f t="shared" si="2"/>
        <v>100</v>
      </c>
      <c r="K35" s="62">
        <v>39627</v>
      </c>
      <c r="L35" s="28">
        <v>0.1013</v>
      </c>
      <c r="M35" s="28">
        <v>2.6059000000000001</v>
      </c>
      <c r="N35" s="24">
        <v>2.0876000000000001</v>
      </c>
    </row>
    <row r="36" spans="1:19" x14ac:dyDescent="0.25">
      <c r="A36" s="10">
        <v>10000</v>
      </c>
      <c r="B36" s="3">
        <v>3</v>
      </c>
      <c r="C36" s="3">
        <v>100</v>
      </c>
      <c r="D36" s="3">
        <v>2048</v>
      </c>
      <c r="E36" s="28">
        <v>2</v>
      </c>
      <c r="F36" s="3" t="s">
        <v>12</v>
      </c>
      <c r="G36" s="11" t="s">
        <v>13</v>
      </c>
      <c r="H36" s="15">
        <f t="shared" si="17"/>
        <v>10000</v>
      </c>
      <c r="I36" s="2">
        <f t="shared" si="1"/>
        <v>30000</v>
      </c>
      <c r="J36" s="6">
        <f t="shared" si="2"/>
        <v>100</v>
      </c>
      <c r="K36" s="62">
        <v>39809</v>
      </c>
      <c r="L36" s="28">
        <v>9.8000000000000004E-2</v>
      </c>
      <c r="M36" s="28">
        <v>2.6192000000000002</v>
      </c>
      <c r="N36" s="24">
        <v>2.2067000000000001</v>
      </c>
    </row>
    <row r="37" spans="1:19" x14ac:dyDescent="0.25">
      <c r="A37" s="10">
        <v>10000</v>
      </c>
      <c r="B37" s="3">
        <v>3</v>
      </c>
      <c r="C37" s="3">
        <v>100</v>
      </c>
      <c r="D37" s="3">
        <v>2048</v>
      </c>
      <c r="E37" s="28">
        <v>2</v>
      </c>
      <c r="F37" s="3" t="s">
        <v>12</v>
      </c>
      <c r="G37" s="11" t="s">
        <v>13</v>
      </c>
      <c r="H37" s="15">
        <f t="shared" si="17"/>
        <v>10000</v>
      </c>
      <c r="I37" s="2">
        <f t="shared" si="1"/>
        <v>30000</v>
      </c>
      <c r="J37" s="6">
        <f t="shared" si="2"/>
        <v>100</v>
      </c>
      <c r="K37" s="62">
        <v>39876</v>
      </c>
      <c r="L37" s="28">
        <v>0.1011</v>
      </c>
      <c r="M37" s="28">
        <v>2.6223999999999998</v>
      </c>
      <c r="N37" s="24">
        <v>2.0569000000000002</v>
      </c>
      <c r="P37" s="48">
        <f t="shared" ref="P37" si="18">SUM(K33:K37)/5</f>
        <v>40660.400000000001</v>
      </c>
      <c r="Q37" s="48">
        <f t="shared" ref="Q37" si="19">SUM(L33:L37)/5</f>
        <v>0.10242</v>
      </c>
      <c r="R37" s="48">
        <f t="shared" ref="R37" si="20">SUM(M33:M37)/5</f>
        <v>2.6740200000000001</v>
      </c>
      <c r="S37" s="48">
        <f t="shared" ref="S37" si="21">SUM(N33:N37)/5</f>
        <v>2.1931000000000003</v>
      </c>
    </row>
    <row r="38" spans="1:19" x14ac:dyDescent="0.25">
      <c r="A38" s="10">
        <v>10000</v>
      </c>
      <c r="B38" s="3">
        <v>3</v>
      </c>
      <c r="C38" s="3">
        <v>100</v>
      </c>
      <c r="D38" s="3">
        <v>2048</v>
      </c>
      <c r="E38" s="38">
        <v>4</v>
      </c>
      <c r="F38" s="3" t="s">
        <v>12</v>
      </c>
      <c r="G38" s="11" t="s">
        <v>13</v>
      </c>
      <c r="H38" s="5">
        <f t="shared" si="17"/>
        <v>10000</v>
      </c>
      <c r="I38" s="2">
        <f t="shared" si="1"/>
        <v>30000</v>
      </c>
      <c r="J38" s="6">
        <f t="shared" si="2"/>
        <v>100</v>
      </c>
      <c r="K38" s="63">
        <v>28637</v>
      </c>
      <c r="L38" s="38">
        <v>0.379</v>
      </c>
      <c r="M38" s="38">
        <v>3.6882999999999999</v>
      </c>
      <c r="N38" s="23">
        <v>2.9131</v>
      </c>
    </row>
    <row r="39" spans="1:19" x14ac:dyDescent="0.25">
      <c r="A39" s="10">
        <v>10000</v>
      </c>
      <c r="B39" s="3">
        <v>3</v>
      </c>
      <c r="C39" s="3">
        <v>100</v>
      </c>
      <c r="D39" s="3">
        <v>2048</v>
      </c>
      <c r="E39" s="38">
        <v>4</v>
      </c>
      <c r="F39" s="3" t="s">
        <v>12</v>
      </c>
      <c r="G39" s="11" t="s">
        <v>13</v>
      </c>
      <c r="H39" s="5">
        <f t="shared" si="17"/>
        <v>10000</v>
      </c>
      <c r="I39" s="2">
        <f t="shared" si="1"/>
        <v>30000</v>
      </c>
      <c r="J39" s="6">
        <f t="shared" si="2"/>
        <v>100</v>
      </c>
      <c r="K39" s="63">
        <v>30494</v>
      </c>
      <c r="L39" s="38">
        <v>0.38840000000000002</v>
      </c>
      <c r="M39" s="38">
        <v>3.9321000000000002</v>
      </c>
      <c r="N39" s="23">
        <v>3.1128999999999998</v>
      </c>
    </row>
    <row r="40" spans="1:19" x14ac:dyDescent="0.25">
      <c r="A40" s="10">
        <v>10000</v>
      </c>
      <c r="B40" s="3">
        <v>3</v>
      </c>
      <c r="C40" s="3">
        <v>100</v>
      </c>
      <c r="D40" s="3">
        <v>2048</v>
      </c>
      <c r="E40" s="38">
        <v>4</v>
      </c>
      <c r="F40" s="3" t="s">
        <v>12</v>
      </c>
      <c r="G40" s="11" t="s">
        <v>13</v>
      </c>
      <c r="H40" s="5">
        <f t="shared" si="17"/>
        <v>10000</v>
      </c>
      <c r="I40" s="2">
        <f t="shared" si="1"/>
        <v>30000</v>
      </c>
      <c r="J40" s="6">
        <f t="shared" si="2"/>
        <v>100</v>
      </c>
      <c r="K40" s="63">
        <v>29233</v>
      </c>
      <c r="L40" s="38">
        <v>0.39079999999999998</v>
      </c>
      <c r="M40" s="38">
        <v>3.7642000000000002</v>
      </c>
      <c r="N40" s="23">
        <v>2.8098999999999998</v>
      </c>
    </row>
    <row r="41" spans="1:19" x14ac:dyDescent="0.25">
      <c r="A41" s="10">
        <v>10000</v>
      </c>
      <c r="B41" s="3">
        <v>3</v>
      </c>
      <c r="C41" s="3">
        <v>100</v>
      </c>
      <c r="D41" s="3">
        <v>2048</v>
      </c>
      <c r="E41" s="38">
        <v>4</v>
      </c>
      <c r="F41" s="3" t="s">
        <v>12</v>
      </c>
      <c r="G41" s="11" t="s">
        <v>13</v>
      </c>
      <c r="H41" s="5">
        <f t="shared" si="17"/>
        <v>10000</v>
      </c>
      <c r="I41" s="2">
        <f t="shared" si="1"/>
        <v>30000</v>
      </c>
      <c r="J41" s="6">
        <f t="shared" si="2"/>
        <v>100</v>
      </c>
      <c r="K41" s="63">
        <v>29468</v>
      </c>
      <c r="L41" s="38">
        <v>0.36880000000000002</v>
      </c>
      <c r="M41" s="38">
        <v>3.8031999999999999</v>
      </c>
      <c r="N41" s="23">
        <v>2.9447999999999999</v>
      </c>
    </row>
    <row r="42" spans="1:19" x14ac:dyDescent="0.25">
      <c r="A42" s="10">
        <v>10000</v>
      </c>
      <c r="B42" s="3">
        <v>3</v>
      </c>
      <c r="C42" s="3">
        <v>100</v>
      </c>
      <c r="D42" s="3">
        <v>2048</v>
      </c>
      <c r="E42" s="38">
        <v>4</v>
      </c>
      <c r="F42" s="3" t="s">
        <v>12</v>
      </c>
      <c r="G42" s="11" t="s">
        <v>13</v>
      </c>
      <c r="H42" s="5">
        <f t="shared" si="17"/>
        <v>10000</v>
      </c>
      <c r="I42" s="2">
        <f t="shared" si="1"/>
        <v>30000</v>
      </c>
      <c r="J42" s="6">
        <f t="shared" si="2"/>
        <v>100</v>
      </c>
      <c r="K42" s="63">
        <v>28995</v>
      </c>
      <c r="L42" s="38">
        <v>0.35070000000000001</v>
      </c>
      <c r="M42" s="38">
        <v>3.7454999999999998</v>
      </c>
      <c r="N42" s="23">
        <v>2.8224</v>
      </c>
      <c r="P42" s="50">
        <f t="shared" ref="P42" si="22">SUM(K38:K42)/5</f>
        <v>29365.4</v>
      </c>
      <c r="Q42" s="50">
        <f t="shared" ref="Q42" si="23">SUM(L38:L42)/5</f>
        <v>0.37554000000000004</v>
      </c>
      <c r="R42" s="50">
        <f t="shared" ref="R42" si="24">SUM(M38:M42)/5</f>
        <v>3.7866600000000004</v>
      </c>
      <c r="S42" s="50">
        <f t="shared" ref="S42" si="25">SUM(N38:N42)/5</f>
        <v>2.92062</v>
      </c>
    </row>
    <row r="43" spans="1:19" x14ac:dyDescent="0.25">
      <c r="A43" s="16">
        <v>10000</v>
      </c>
      <c r="B43" s="3">
        <v>3</v>
      </c>
      <c r="C43" s="3">
        <v>100</v>
      </c>
      <c r="D43" s="17">
        <v>2048</v>
      </c>
      <c r="E43" s="26">
        <v>8</v>
      </c>
      <c r="F43" s="17" t="s">
        <v>12</v>
      </c>
      <c r="G43" s="11" t="s">
        <v>13</v>
      </c>
      <c r="H43" s="5">
        <f t="shared" si="17"/>
        <v>10000</v>
      </c>
      <c r="I43" s="2">
        <f t="shared" si="1"/>
        <v>30000</v>
      </c>
      <c r="J43" s="6">
        <f t="shared" si="2"/>
        <v>100</v>
      </c>
      <c r="K43" s="61">
        <v>27146</v>
      </c>
      <c r="L43" s="27">
        <v>1.41</v>
      </c>
      <c r="M43" s="27">
        <v>6.7619999999999996</v>
      </c>
      <c r="N43" s="25">
        <v>4.7670000000000003</v>
      </c>
    </row>
    <row r="44" spans="1:19" x14ac:dyDescent="0.25">
      <c r="A44" s="10">
        <v>10000</v>
      </c>
      <c r="B44" s="3">
        <v>3</v>
      </c>
      <c r="C44" s="3">
        <v>100</v>
      </c>
      <c r="D44" s="3">
        <v>2048</v>
      </c>
      <c r="E44" s="27">
        <v>8</v>
      </c>
      <c r="F44" s="3" t="s">
        <v>12</v>
      </c>
      <c r="G44" s="11" t="s">
        <v>13</v>
      </c>
      <c r="H44" s="5">
        <f t="shared" si="17"/>
        <v>10000</v>
      </c>
      <c r="I44" s="2">
        <f t="shared" si="1"/>
        <v>30000</v>
      </c>
      <c r="J44" s="6">
        <f t="shared" si="2"/>
        <v>100</v>
      </c>
      <c r="K44" s="61">
        <v>26916</v>
      </c>
      <c r="L44" s="27">
        <v>1.3782000000000001</v>
      </c>
      <c r="M44" s="27">
        <v>6.7089999999999996</v>
      </c>
      <c r="N44" s="25">
        <v>5.1178999999999997</v>
      </c>
    </row>
    <row r="45" spans="1:19" x14ac:dyDescent="0.25">
      <c r="A45" s="10">
        <v>10000</v>
      </c>
      <c r="B45" s="3">
        <v>3</v>
      </c>
      <c r="C45" s="3">
        <v>100</v>
      </c>
      <c r="D45" s="3">
        <v>2048</v>
      </c>
      <c r="E45" s="27">
        <v>8</v>
      </c>
      <c r="F45" s="3" t="s">
        <v>12</v>
      </c>
      <c r="G45" s="11" t="s">
        <v>13</v>
      </c>
      <c r="H45" s="5">
        <f t="shared" si="17"/>
        <v>10000</v>
      </c>
      <c r="I45" s="2">
        <f t="shared" si="1"/>
        <v>30000</v>
      </c>
      <c r="J45" s="6">
        <f t="shared" si="2"/>
        <v>100</v>
      </c>
      <c r="K45" s="61">
        <v>26411</v>
      </c>
      <c r="L45" s="27">
        <v>1.2889999999999999</v>
      </c>
      <c r="M45" s="27">
        <v>6.6071</v>
      </c>
      <c r="N45" s="25">
        <v>4.3552999999999997</v>
      </c>
    </row>
    <row r="46" spans="1:19" x14ac:dyDescent="0.25">
      <c r="A46" s="10">
        <v>10000</v>
      </c>
      <c r="B46" s="3">
        <v>3</v>
      </c>
      <c r="C46" s="3">
        <v>100</v>
      </c>
      <c r="D46" s="3">
        <v>2048</v>
      </c>
      <c r="E46" s="27">
        <v>8</v>
      </c>
      <c r="F46" s="3" t="s">
        <v>12</v>
      </c>
      <c r="G46" s="11" t="s">
        <v>13</v>
      </c>
      <c r="H46" s="5">
        <f t="shared" si="17"/>
        <v>10000</v>
      </c>
      <c r="I46" s="2">
        <f t="shared" si="1"/>
        <v>30000</v>
      </c>
      <c r="J46" s="6">
        <f t="shared" si="2"/>
        <v>100</v>
      </c>
      <c r="K46" s="61">
        <v>25997</v>
      </c>
      <c r="L46" s="27">
        <v>1.2394000000000001</v>
      </c>
      <c r="M46" s="27">
        <v>6.5091000000000001</v>
      </c>
      <c r="N46" s="25">
        <v>4.3555000000000001</v>
      </c>
    </row>
    <row r="47" spans="1:19" x14ac:dyDescent="0.25">
      <c r="A47" s="10">
        <v>10000</v>
      </c>
      <c r="B47" s="3">
        <v>3</v>
      </c>
      <c r="C47" s="3">
        <v>100</v>
      </c>
      <c r="D47" s="3">
        <v>2048</v>
      </c>
      <c r="E47" s="27">
        <v>8</v>
      </c>
      <c r="F47" s="3" t="s">
        <v>12</v>
      </c>
      <c r="G47" s="11" t="s">
        <v>13</v>
      </c>
      <c r="H47" s="5">
        <f t="shared" si="17"/>
        <v>10000</v>
      </c>
      <c r="I47" s="2">
        <f t="shared" si="1"/>
        <v>30000</v>
      </c>
      <c r="J47" s="6">
        <f t="shared" si="2"/>
        <v>100</v>
      </c>
      <c r="K47" s="61">
        <v>26244</v>
      </c>
      <c r="L47" s="27">
        <v>1.2262</v>
      </c>
      <c r="M47" s="27">
        <v>6.5838000000000001</v>
      </c>
      <c r="N47" s="25">
        <v>4.5980999999999996</v>
      </c>
      <c r="P47" s="49">
        <f t="shared" ref="P47" si="26">SUM(K43:K47)/5</f>
        <v>26542.799999999999</v>
      </c>
      <c r="Q47" s="49">
        <f t="shared" ref="Q47:R47" si="27">SUM(L43:L47)/5</f>
        <v>1.3085599999999999</v>
      </c>
      <c r="R47" s="49">
        <f t="shared" si="27"/>
        <v>6.6341999999999999</v>
      </c>
      <c r="S47" s="49">
        <f t="shared" ref="S47" si="28">SUM(N43:N47)/5</f>
        <v>4.6387599999999996</v>
      </c>
    </row>
    <row r="48" spans="1:19" x14ac:dyDescent="0.25">
      <c r="A48" s="10">
        <v>10000</v>
      </c>
      <c r="B48" s="3">
        <v>3</v>
      </c>
      <c r="C48" s="3">
        <v>100</v>
      </c>
      <c r="D48" s="3">
        <v>2048</v>
      </c>
      <c r="E48" s="28">
        <v>12</v>
      </c>
      <c r="F48" s="3" t="s">
        <v>12</v>
      </c>
      <c r="G48" s="11" t="s">
        <v>13</v>
      </c>
      <c r="H48" s="5">
        <f t="shared" si="17"/>
        <v>10000</v>
      </c>
      <c r="I48" s="2">
        <f t="shared" si="1"/>
        <v>30000</v>
      </c>
      <c r="J48" s="6">
        <f t="shared" si="2"/>
        <v>100</v>
      </c>
      <c r="K48" s="62">
        <v>26081</v>
      </c>
      <c r="L48" s="28">
        <v>2.8380999999999998</v>
      </c>
      <c r="M48" s="28">
        <v>9.4684000000000008</v>
      </c>
      <c r="N48" s="24">
        <v>7.4047999999999998</v>
      </c>
    </row>
    <row r="49" spans="1:24" x14ac:dyDescent="0.25">
      <c r="A49" s="10">
        <v>10000</v>
      </c>
      <c r="B49" s="3">
        <v>3</v>
      </c>
      <c r="C49" s="3">
        <v>100</v>
      </c>
      <c r="D49" s="3">
        <v>2048</v>
      </c>
      <c r="E49" s="28">
        <v>12</v>
      </c>
      <c r="F49" s="3" t="s">
        <v>12</v>
      </c>
      <c r="G49" s="11" t="s">
        <v>13</v>
      </c>
      <c r="H49" s="5">
        <f t="shared" si="17"/>
        <v>10000</v>
      </c>
      <c r="I49" s="2">
        <f t="shared" si="1"/>
        <v>30000</v>
      </c>
      <c r="J49" s="6">
        <f t="shared" si="2"/>
        <v>100</v>
      </c>
      <c r="K49" s="62">
        <v>25901</v>
      </c>
      <c r="L49" s="28">
        <v>2.8485</v>
      </c>
      <c r="M49" s="28">
        <v>9.375</v>
      </c>
      <c r="N49" s="24">
        <v>6.9398999999999997</v>
      </c>
    </row>
    <row r="50" spans="1:24" x14ac:dyDescent="0.25">
      <c r="A50" s="10">
        <v>10000</v>
      </c>
      <c r="B50" s="3">
        <v>3</v>
      </c>
      <c r="C50" s="3">
        <v>100</v>
      </c>
      <c r="D50" s="3">
        <v>2048</v>
      </c>
      <c r="E50" s="28">
        <v>12</v>
      </c>
      <c r="F50" s="3" t="s">
        <v>12</v>
      </c>
      <c r="G50" s="11" t="s">
        <v>13</v>
      </c>
      <c r="H50" s="5">
        <f t="shared" si="17"/>
        <v>10000</v>
      </c>
      <c r="I50" s="2">
        <f t="shared" si="1"/>
        <v>30000</v>
      </c>
      <c r="J50" s="6">
        <f t="shared" si="2"/>
        <v>100</v>
      </c>
      <c r="K50" s="62">
        <v>26143</v>
      </c>
      <c r="L50" s="28">
        <v>2.9198</v>
      </c>
      <c r="M50" s="28">
        <v>9.4724000000000004</v>
      </c>
      <c r="N50" s="24">
        <v>6.9265999999999996</v>
      </c>
    </row>
    <row r="51" spans="1:24" ht="15.75" thickBot="1" x14ac:dyDescent="0.3">
      <c r="A51" s="10">
        <v>10000</v>
      </c>
      <c r="B51" s="3">
        <v>3</v>
      </c>
      <c r="C51" s="3">
        <v>100</v>
      </c>
      <c r="D51" s="3">
        <v>2048</v>
      </c>
      <c r="E51" s="28">
        <v>12</v>
      </c>
      <c r="F51" s="3" t="s">
        <v>12</v>
      </c>
      <c r="G51" s="11" t="s">
        <v>13</v>
      </c>
      <c r="H51" s="5">
        <f t="shared" si="17"/>
        <v>10000</v>
      </c>
      <c r="I51" s="2">
        <f t="shared" si="1"/>
        <v>30000</v>
      </c>
      <c r="J51" s="6">
        <f t="shared" si="2"/>
        <v>100</v>
      </c>
      <c r="K51" s="62">
        <v>25897</v>
      </c>
      <c r="L51" s="28">
        <v>2.5971000000000002</v>
      </c>
      <c r="M51" s="28">
        <v>9.4802</v>
      </c>
      <c r="N51" s="24">
        <v>7.6745000000000001</v>
      </c>
      <c r="U51" t="s">
        <v>7</v>
      </c>
      <c r="V51" s="89" t="s">
        <v>22</v>
      </c>
      <c r="W51" s="89" t="s">
        <v>23</v>
      </c>
      <c r="X51" s="89" t="s">
        <v>24</v>
      </c>
    </row>
    <row r="52" spans="1:24" x14ac:dyDescent="0.25">
      <c r="A52" s="10">
        <v>10000</v>
      </c>
      <c r="B52" s="3">
        <v>3</v>
      </c>
      <c r="C52" s="3">
        <v>100</v>
      </c>
      <c r="D52" s="3">
        <v>2048</v>
      </c>
      <c r="E52" s="28">
        <v>12</v>
      </c>
      <c r="F52" s="3" t="s">
        <v>12</v>
      </c>
      <c r="G52" s="11" t="s">
        <v>13</v>
      </c>
      <c r="H52" s="5">
        <f t="shared" si="17"/>
        <v>10000</v>
      </c>
      <c r="I52" s="2">
        <f t="shared" si="1"/>
        <v>30000</v>
      </c>
      <c r="J52" s="6">
        <f t="shared" si="2"/>
        <v>100</v>
      </c>
      <c r="K52" s="62">
        <v>25935</v>
      </c>
      <c r="L52" s="28">
        <v>2.7881</v>
      </c>
      <c r="M52" s="28">
        <v>9.4276999999999997</v>
      </c>
      <c r="N52" s="24">
        <v>8.0473999999999997</v>
      </c>
      <c r="P52" s="48">
        <f t="shared" ref="P52" si="29">SUM(K48:K52)/5</f>
        <v>25991.4</v>
      </c>
      <c r="Q52" s="48">
        <f t="shared" ref="Q52" si="30">SUM(L48:L52)/5</f>
        <v>2.7983200000000004</v>
      </c>
      <c r="R52" s="48">
        <f t="shared" ref="R52" si="31">SUM(M48:M52)/5</f>
        <v>9.4447400000000012</v>
      </c>
      <c r="S52" s="48">
        <f t="shared" ref="S52" si="32">SUM(N48:N52)/5</f>
        <v>7.3986400000000003</v>
      </c>
      <c r="U52" s="45" t="s">
        <v>25</v>
      </c>
      <c r="V52">
        <f>Q32</f>
        <v>3.662E-2</v>
      </c>
      <c r="W52">
        <f>R32</f>
        <v>6.1695000000000002</v>
      </c>
      <c r="X52">
        <f>S32</f>
        <v>1.96218</v>
      </c>
    </row>
    <row r="53" spans="1:24" x14ac:dyDescent="0.25">
      <c r="A53" s="10">
        <v>10000</v>
      </c>
      <c r="B53" s="3">
        <v>3</v>
      </c>
      <c r="C53" s="3">
        <v>100</v>
      </c>
      <c r="D53" s="3">
        <v>2048</v>
      </c>
      <c r="E53" s="38">
        <v>16</v>
      </c>
      <c r="F53" s="3" t="s">
        <v>12</v>
      </c>
      <c r="G53" s="11" t="s">
        <v>13</v>
      </c>
      <c r="H53" s="5">
        <f t="shared" si="17"/>
        <v>10000</v>
      </c>
      <c r="I53" s="2">
        <f t="shared" si="1"/>
        <v>30000</v>
      </c>
      <c r="J53" s="6">
        <f t="shared" si="2"/>
        <v>100</v>
      </c>
      <c r="K53" s="63">
        <v>26556</v>
      </c>
      <c r="L53" s="38">
        <v>5.8525999999999998</v>
      </c>
      <c r="M53" s="38">
        <v>12.178000000000001</v>
      </c>
      <c r="N53" s="23">
        <v>7.2016999999999998</v>
      </c>
      <c r="U53" s="28" t="s">
        <v>27</v>
      </c>
      <c r="V53">
        <f>Q37</f>
        <v>0.10242</v>
      </c>
      <c r="W53">
        <f>R37</f>
        <v>2.6740200000000001</v>
      </c>
      <c r="X53">
        <f>S37</f>
        <v>2.1931000000000003</v>
      </c>
    </row>
    <row r="54" spans="1:24" x14ac:dyDescent="0.25">
      <c r="A54" s="10">
        <v>10000</v>
      </c>
      <c r="B54" s="3">
        <v>3</v>
      </c>
      <c r="C54" s="3">
        <v>100</v>
      </c>
      <c r="D54" s="3">
        <v>2048</v>
      </c>
      <c r="E54" s="38">
        <v>16</v>
      </c>
      <c r="F54" s="3" t="s">
        <v>12</v>
      </c>
      <c r="G54" s="11" t="s">
        <v>13</v>
      </c>
      <c r="H54" s="15">
        <f t="shared" si="17"/>
        <v>10000</v>
      </c>
      <c r="I54" s="2">
        <f t="shared" si="1"/>
        <v>30000</v>
      </c>
      <c r="J54" s="6">
        <f t="shared" si="2"/>
        <v>100</v>
      </c>
      <c r="K54" s="63">
        <v>26867</v>
      </c>
      <c r="L54" s="38">
        <v>5.7339000000000002</v>
      </c>
      <c r="M54" s="38">
        <v>12.391299999999999</v>
      </c>
      <c r="N54" s="23">
        <v>8.9675999999999991</v>
      </c>
      <c r="U54" s="38" t="s">
        <v>28</v>
      </c>
      <c r="V54">
        <f>Q42</f>
        <v>0.37554000000000004</v>
      </c>
      <c r="W54">
        <f>R42</f>
        <v>3.7866600000000004</v>
      </c>
      <c r="X54">
        <f>S42</f>
        <v>2.92062</v>
      </c>
    </row>
    <row r="55" spans="1:24" x14ac:dyDescent="0.25">
      <c r="A55" s="10">
        <v>10000</v>
      </c>
      <c r="B55" s="3">
        <v>3</v>
      </c>
      <c r="C55" s="3">
        <v>100</v>
      </c>
      <c r="D55" s="3">
        <v>2048</v>
      </c>
      <c r="E55" s="38">
        <v>16</v>
      </c>
      <c r="F55" s="3" t="s">
        <v>12</v>
      </c>
      <c r="G55" s="11" t="s">
        <v>13</v>
      </c>
      <c r="H55" s="15">
        <f t="shared" si="17"/>
        <v>10000</v>
      </c>
      <c r="I55" s="2">
        <f t="shared" si="1"/>
        <v>30000</v>
      </c>
      <c r="J55" s="6">
        <f t="shared" si="2"/>
        <v>100</v>
      </c>
      <c r="K55" s="63">
        <v>25974</v>
      </c>
      <c r="L55" s="38">
        <v>5.6829000000000001</v>
      </c>
      <c r="M55" s="38">
        <v>11.932499999999999</v>
      </c>
      <c r="N55" s="23">
        <v>7.3479999999999999</v>
      </c>
      <c r="U55" s="27" t="s">
        <v>29</v>
      </c>
      <c r="V55">
        <f>Q47</f>
        <v>1.3085599999999999</v>
      </c>
      <c r="W55">
        <f>R47</f>
        <v>6.6341999999999999</v>
      </c>
      <c r="X55">
        <f>S47</f>
        <v>4.6387599999999996</v>
      </c>
    </row>
    <row r="56" spans="1:24" x14ac:dyDescent="0.25">
      <c r="A56" s="10">
        <v>10000</v>
      </c>
      <c r="B56" s="3">
        <v>3</v>
      </c>
      <c r="C56" s="3">
        <v>100</v>
      </c>
      <c r="D56" s="3">
        <v>2048</v>
      </c>
      <c r="E56" s="38">
        <v>16</v>
      </c>
      <c r="F56" s="3" t="s">
        <v>12</v>
      </c>
      <c r="G56" s="11" t="s">
        <v>13</v>
      </c>
      <c r="H56" s="5">
        <f t="shared" si="17"/>
        <v>10000</v>
      </c>
      <c r="I56" s="2">
        <f t="shared" si="1"/>
        <v>30000</v>
      </c>
      <c r="J56" s="6">
        <f t="shared" si="2"/>
        <v>100</v>
      </c>
      <c r="K56" s="63">
        <v>25615</v>
      </c>
      <c r="L56" s="38">
        <v>5.5026999999999999</v>
      </c>
      <c r="M56" s="38">
        <v>11.809100000000001</v>
      </c>
      <c r="N56" s="23">
        <v>8.5510000000000002</v>
      </c>
      <c r="U56" s="28" t="s">
        <v>30</v>
      </c>
      <c r="V56">
        <f>Q52</f>
        <v>2.7983200000000004</v>
      </c>
      <c r="W56">
        <f>R52</f>
        <v>9.4447400000000012</v>
      </c>
      <c r="X56">
        <f>S52</f>
        <v>7.3986400000000003</v>
      </c>
    </row>
    <row r="57" spans="1:24" ht="15.75" thickBot="1" x14ac:dyDescent="0.3">
      <c r="A57" s="12">
        <v>10000</v>
      </c>
      <c r="B57" s="13">
        <v>3</v>
      </c>
      <c r="C57" s="13">
        <v>100</v>
      </c>
      <c r="D57" s="13">
        <v>2048</v>
      </c>
      <c r="E57" s="47">
        <v>16</v>
      </c>
      <c r="F57" s="13" t="s">
        <v>12</v>
      </c>
      <c r="G57" s="14" t="s">
        <v>13</v>
      </c>
      <c r="H57" s="7">
        <f t="shared" si="17"/>
        <v>10000</v>
      </c>
      <c r="I57" s="8">
        <f t="shared" si="1"/>
        <v>30000</v>
      </c>
      <c r="J57" s="9">
        <f t="shared" si="2"/>
        <v>100</v>
      </c>
      <c r="K57" s="64">
        <v>26580</v>
      </c>
      <c r="L57" s="47">
        <v>6.0347999999999997</v>
      </c>
      <c r="M57" s="47">
        <v>12.141999999999999</v>
      </c>
      <c r="N57" s="31">
        <v>7.4584000000000001</v>
      </c>
      <c r="P57" s="50">
        <f t="shared" ref="P57" si="33">SUM(K53:K57)/5</f>
        <v>26318.400000000001</v>
      </c>
      <c r="Q57" s="50">
        <f t="shared" ref="Q57" si="34">SUM(L53:L57)/5</f>
        <v>5.7613800000000008</v>
      </c>
      <c r="R57" s="50">
        <f t="shared" ref="R57" si="35">SUM(M53:M57)/5</f>
        <v>12.090579999999999</v>
      </c>
      <c r="S57" s="50">
        <f t="shared" ref="S57" si="36">SUM(N53:N57)/5</f>
        <v>7.9053399999999998</v>
      </c>
      <c r="U57" s="38" t="s">
        <v>26</v>
      </c>
      <c r="V57">
        <f>Q57</f>
        <v>5.7613800000000008</v>
      </c>
      <c r="W57">
        <f>R57</f>
        <v>12.090579999999999</v>
      </c>
      <c r="X57">
        <f>S57</f>
        <v>7.9053399999999998</v>
      </c>
    </row>
    <row r="58" spans="1:24" x14ac:dyDescent="0.25">
      <c r="A58" s="35">
        <v>10000</v>
      </c>
      <c r="B58" s="36">
        <v>3</v>
      </c>
      <c r="C58" s="36">
        <v>100</v>
      </c>
      <c r="D58" s="45">
        <v>516</v>
      </c>
      <c r="E58" s="36">
        <v>12</v>
      </c>
      <c r="F58" s="36" t="s">
        <v>12</v>
      </c>
      <c r="G58" s="37" t="s">
        <v>13</v>
      </c>
      <c r="H58" s="32">
        <f t="shared" ref="H58:H62" si="37">A58</f>
        <v>10000</v>
      </c>
      <c r="I58" s="33">
        <f t="shared" si="1"/>
        <v>30000</v>
      </c>
      <c r="J58" s="34">
        <f t="shared" si="2"/>
        <v>100</v>
      </c>
      <c r="K58" s="60">
        <v>24308</v>
      </c>
      <c r="L58" s="45">
        <v>2.7246999999999999</v>
      </c>
      <c r="M58" s="45">
        <v>8.7852999999999994</v>
      </c>
      <c r="N58" s="30">
        <v>7.0571999999999999</v>
      </c>
    </row>
    <row r="59" spans="1:24" x14ac:dyDescent="0.25">
      <c r="A59" s="10">
        <v>10000</v>
      </c>
      <c r="B59" s="3">
        <v>3</v>
      </c>
      <c r="C59" s="3">
        <v>100</v>
      </c>
      <c r="D59" s="27">
        <v>516</v>
      </c>
      <c r="E59" s="3">
        <v>12</v>
      </c>
      <c r="F59" s="3" t="s">
        <v>12</v>
      </c>
      <c r="G59" s="11" t="s">
        <v>13</v>
      </c>
      <c r="H59" s="5">
        <f t="shared" si="37"/>
        <v>10000</v>
      </c>
      <c r="I59" s="2">
        <f t="shared" si="1"/>
        <v>30000</v>
      </c>
      <c r="J59" s="6">
        <f t="shared" si="2"/>
        <v>100</v>
      </c>
      <c r="K59" s="61">
        <v>23330</v>
      </c>
      <c r="L59" s="27">
        <v>2.4352999999999998</v>
      </c>
      <c r="M59" s="27">
        <v>8.4983000000000004</v>
      </c>
      <c r="N59" s="25">
        <v>6.3144</v>
      </c>
    </row>
    <row r="60" spans="1:24" x14ac:dyDescent="0.25">
      <c r="A60" s="10">
        <v>10000</v>
      </c>
      <c r="B60" s="3">
        <v>3</v>
      </c>
      <c r="C60" s="3">
        <v>100</v>
      </c>
      <c r="D60" s="27">
        <v>516</v>
      </c>
      <c r="E60" s="3">
        <v>12</v>
      </c>
      <c r="F60" s="3" t="s">
        <v>12</v>
      </c>
      <c r="G60" s="11" t="s">
        <v>13</v>
      </c>
      <c r="H60" s="5">
        <f t="shared" si="37"/>
        <v>10000</v>
      </c>
      <c r="I60" s="2">
        <f t="shared" si="1"/>
        <v>30000</v>
      </c>
      <c r="J60" s="6">
        <f t="shared" si="2"/>
        <v>100</v>
      </c>
      <c r="K60" s="61">
        <v>23998</v>
      </c>
      <c r="L60" s="27">
        <v>2.6852999999999998</v>
      </c>
      <c r="M60" s="27">
        <v>8.6879000000000008</v>
      </c>
      <c r="N60" s="25">
        <v>7.9690000000000003</v>
      </c>
    </row>
    <row r="61" spans="1:24" x14ac:dyDescent="0.25">
      <c r="A61" s="10">
        <v>10000</v>
      </c>
      <c r="B61" s="3">
        <v>3</v>
      </c>
      <c r="C61" s="3">
        <v>100</v>
      </c>
      <c r="D61" s="27">
        <v>516</v>
      </c>
      <c r="E61" s="3">
        <v>12</v>
      </c>
      <c r="F61" s="3" t="s">
        <v>12</v>
      </c>
      <c r="G61" s="11" t="s">
        <v>13</v>
      </c>
      <c r="H61" s="5">
        <f t="shared" si="37"/>
        <v>10000</v>
      </c>
      <c r="I61" s="2">
        <f t="shared" si="1"/>
        <v>30000</v>
      </c>
      <c r="J61" s="6">
        <f t="shared" si="2"/>
        <v>100</v>
      </c>
      <c r="K61" s="61">
        <v>25136</v>
      </c>
      <c r="L61" s="27">
        <v>2.7751000000000001</v>
      </c>
      <c r="M61" s="27">
        <v>9.1143000000000001</v>
      </c>
      <c r="N61" s="25">
        <v>7.5320999999999998</v>
      </c>
    </row>
    <row r="62" spans="1:24" x14ac:dyDescent="0.25">
      <c r="A62" s="10">
        <v>10000</v>
      </c>
      <c r="B62" s="3">
        <v>3</v>
      </c>
      <c r="C62" s="3">
        <v>100</v>
      </c>
      <c r="D62" s="27">
        <v>516</v>
      </c>
      <c r="E62" s="3">
        <v>12</v>
      </c>
      <c r="F62" s="3" t="s">
        <v>12</v>
      </c>
      <c r="G62" s="11" t="s">
        <v>13</v>
      </c>
      <c r="H62" s="5">
        <f t="shared" si="37"/>
        <v>10000</v>
      </c>
      <c r="I62" s="2">
        <f t="shared" si="1"/>
        <v>30000</v>
      </c>
      <c r="J62" s="6">
        <f t="shared" si="2"/>
        <v>100</v>
      </c>
      <c r="K62" s="61">
        <v>25088</v>
      </c>
      <c r="L62" s="27">
        <v>2.72</v>
      </c>
      <c r="M62" s="27">
        <v>9.1128</v>
      </c>
      <c r="N62" s="25">
        <v>7.5815999999999999</v>
      </c>
      <c r="P62">
        <f t="shared" ref="P62" si="38">SUM(K58:K62)/5</f>
        <v>24372</v>
      </c>
      <c r="Q62">
        <f t="shared" ref="Q62" si="39">SUM(L58:L62)/5</f>
        <v>2.6680800000000002</v>
      </c>
      <c r="R62">
        <f>SUM(M58:M62)/5</f>
        <v>8.8397199999999998</v>
      </c>
      <c r="S62">
        <f t="shared" ref="S62" si="40">SUM(N58:N62)/5</f>
        <v>7.2908600000000003</v>
      </c>
    </row>
    <row r="63" spans="1:24" x14ac:dyDescent="0.25">
      <c r="A63" s="10">
        <v>10000</v>
      </c>
      <c r="B63" s="3">
        <v>3</v>
      </c>
      <c r="C63" s="3">
        <v>100</v>
      </c>
      <c r="D63" s="28">
        <v>1024</v>
      </c>
      <c r="E63" s="3">
        <v>12</v>
      </c>
      <c r="F63" s="3" t="s">
        <v>12</v>
      </c>
      <c r="G63" s="11" t="s">
        <v>13</v>
      </c>
      <c r="H63" s="5">
        <f t="shared" ref="H63" si="41">A63</f>
        <v>10000</v>
      </c>
      <c r="I63" s="2">
        <f t="shared" si="1"/>
        <v>30000</v>
      </c>
      <c r="J63" s="6">
        <f t="shared" si="2"/>
        <v>100</v>
      </c>
      <c r="K63" s="62">
        <v>24989</v>
      </c>
      <c r="L63" s="28">
        <v>2.6019999999999999</v>
      </c>
      <c r="M63" s="28">
        <v>9.1126000000000005</v>
      </c>
      <c r="N63" s="24">
        <v>5.5312000000000001</v>
      </c>
    </row>
    <row r="64" spans="1:24" x14ac:dyDescent="0.25">
      <c r="A64" s="10">
        <v>10000</v>
      </c>
      <c r="B64" s="3">
        <v>3</v>
      </c>
      <c r="C64" s="3">
        <v>100</v>
      </c>
      <c r="D64" s="28">
        <v>1024</v>
      </c>
      <c r="E64" s="3">
        <v>12</v>
      </c>
      <c r="F64" s="3" t="s">
        <v>12</v>
      </c>
      <c r="G64" s="11" t="s">
        <v>13</v>
      </c>
      <c r="H64" s="5">
        <f t="shared" ref="H64:H68" si="42">A64</f>
        <v>10000</v>
      </c>
      <c r="I64" s="2">
        <f t="shared" si="1"/>
        <v>30000</v>
      </c>
      <c r="J64" s="6">
        <f t="shared" si="2"/>
        <v>100</v>
      </c>
      <c r="K64" s="62">
        <v>25011</v>
      </c>
      <c r="L64" s="28">
        <v>2.6598999999999999</v>
      </c>
      <c r="M64" s="28">
        <v>9.0996000000000006</v>
      </c>
      <c r="N64" s="24">
        <v>6.7544000000000004</v>
      </c>
    </row>
    <row r="65" spans="1:19" x14ac:dyDescent="0.25">
      <c r="A65" s="10">
        <v>10000</v>
      </c>
      <c r="B65" s="3">
        <v>3</v>
      </c>
      <c r="C65" s="3">
        <v>100</v>
      </c>
      <c r="D65" s="28">
        <v>1024</v>
      </c>
      <c r="E65" s="3">
        <v>12</v>
      </c>
      <c r="F65" s="3" t="s">
        <v>12</v>
      </c>
      <c r="G65" s="11" t="s">
        <v>13</v>
      </c>
      <c r="H65" s="5">
        <f t="shared" si="42"/>
        <v>10000</v>
      </c>
      <c r="I65" s="2">
        <f t="shared" si="1"/>
        <v>30000</v>
      </c>
      <c r="J65" s="6">
        <f t="shared" si="2"/>
        <v>100</v>
      </c>
      <c r="K65" s="62">
        <v>24983</v>
      </c>
      <c r="L65" s="28">
        <v>2.6383999999999999</v>
      </c>
      <c r="M65" s="28">
        <v>9.1028000000000002</v>
      </c>
      <c r="N65" s="24">
        <v>7.0517000000000003</v>
      </c>
    </row>
    <row r="66" spans="1:19" x14ac:dyDescent="0.25">
      <c r="A66" s="10">
        <v>10000</v>
      </c>
      <c r="B66" s="3">
        <v>3</v>
      </c>
      <c r="C66" s="3">
        <v>100</v>
      </c>
      <c r="D66" s="28">
        <v>1024</v>
      </c>
      <c r="E66" s="3">
        <v>12</v>
      </c>
      <c r="F66" s="3" t="s">
        <v>12</v>
      </c>
      <c r="G66" s="11" t="s">
        <v>13</v>
      </c>
      <c r="H66" s="5">
        <f t="shared" si="42"/>
        <v>10000</v>
      </c>
      <c r="I66" s="2">
        <f t="shared" si="1"/>
        <v>30000</v>
      </c>
      <c r="J66" s="6">
        <f t="shared" si="2"/>
        <v>100</v>
      </c>
      <c r="K66" s="62">
        <v>25057</v>
      </c>
      <c r="L66" s="28">
        <v>2.6044999999999998</v>
      </c>
      <c r="M66" s="28">
        <v>9.141</v>
      </c>
      <c r="N66" s="24">
        <v>7.0400999999999998</v>
      </c>
    </row>
    <row r="67" spans="1:19" x14ac:dyDescent="0.25">
      <c r="A67" s="10">
        <v>10000</v>
      </c>
      <c r="B67" s="3">
        <v>3</v>
      </c>
      <c r="C67" s="3">
        <v>100</v>
      </c>
      <c r="D67" s="28">
        <v>1024</v>
      </c>
      <c r="E67" s="3">
        <v>12</v>
      </c>
      <c r="F67" s="3" t="s">
        <v>12</v>
      </c>
      <c r="G67" s="11" t="s">
        <v>13</v>
      </c>
      <c r="H67" s="5">
        <f t="shared" si="42"/>
        <v>10000</v>
      </c>
      <c r="I67" s="2">
        <f t="shared" si="1"/>
        <v>30000</v>
      </c>
      <c r="J67" s="6">
        <f t="shared" si="2"/>
        <v>100</v>
      </c>
      <c r="K67" s="62">
        <v>25085</v>
      </c>
      <c r="L67" s="28">
        <v>2.6196000000000002</v>
      </c>
      <c r="M67" s="28">
        <v>9.1488999999999994</v>
      </c>
      <c r="N67" s="24">
        <v>5.9067999999999996</v>
      </c>
      <c r="P67">
        <f t="shared" ref="P67" si="43">SUM(K63:K67)/5</f>
        <v>25025</v>
      </c>
      <c r="Q67">
        <f t="shared" ref="Q67:R67" si="44">SUM(L63:L67)/5</f>
        <v>2.6248800000000001</v>
      </c>
      <c r="R67">
        <f t="shared" si="44"/>
        <v>9.1209799999999994</v>
      </c>
      <c r="S67">
        <f t="shared" ref="S67" si="45">SUM(N63:N67)/5</f>
        <v>6.4568399999999997</v>
      </c>
    </row>
    <row r="68" spans="1:19" x14ac:dyDescent="0.25">
      <c r="A68" s="10">
        <v>10000</v>
      </c>
      <c r="B68" s="3">
        <v>3</v>
      </c>
      <c r="C68" s="3">
        <v>100</v>
      </c>
      <c r="D68" s="38">
        <v>2048</v>
      </c>
      <c r="E68" s="3">
        <v>12</v>
      </c>
      <c r="F68" s="3" t="s">
        <v>12</v>
      </c>
      <c r="G68" s="11" t="s">
        <v>13</v>
      </c>
      <c r="H68" s="5">
        <f t="shared" si="42"/>
        <v>10000</v>
      </c>
      <c r="I68" s="2">
        <f t="shared" ref="I68:I87" si="46">A68*B68</f>
        <v>30000</v>
      </c>
      <c r="J68" s="6">
        <f t="shared" ref="J68:J87" si="47">A68/C68</f>
        <v>100</v>
      </c>
      <c r="K68" s="63">
        <v>24557</v>
      </c>
      <c r="L68" s="38">
        <v>2.7025000000000001</v>
      </c>
      <c r="M68" s="38">
        <v>8.9105000000000008</v>
      </c>
      <c r="N68" s="23">
        <v>5.9192</v>
      </c>
    </row>
    <row r="69" spans="1:19" x14ac:dyDescent="0.25">
      <c r="A69" s="10">
        <v>10000</v>
      </c>
      <c r="B69" s="3">
        <v>3</v>
      </c>
      <c r="C69" s="3">
        <v>100</v>
      </c>
      <c r="D69" s="38">
        <v>2048</v>
      </c>
      <c r="E69" s="3">
        <v>12</v>
      </c>
      <c r="F69" s="3" t="s">
        <v>12</v>
      </c>
      <c r="G69" s="11" t="s">
        <v>13</v>
      </c>
      <c r="H69" s="5">
        <f t="shared" ref="H69:H73" si="48">A69</f>
        <v>10000</v>
      </c>
      <c r="I69" s="2">
        <f t="shared" si="46"/>
        <v>30000</v>
      </c>
      <c r="J69" s="6">
        <f t="shared" si="47"/>
        <v>100</v>
      </c>
      <c r="K69" s="63">
        <v>24722</v>
      </c>
      <c r="L69" s="38">
        <v>2.6810999999999998</v>
      </c>
      <c r="M69" s="38">
        <v>8.9838000000000005</v>
      </c>
      <c r="N69" s="23">
        <v>7.3090000000000002</v>
      </c>
    </row>
    <row r="70" spans="1:19" x14ac:dyDescent="0.25">
      <c r="A70" s="10">
        <v>10000</v>
      </c>
      <c r="B70" s="3">
        <v>3</v>
      </c>
      <c r="C70" s="3">
        <v>100</v>
      </c>
      <c r="D70" s="38">
        <v>2048</v>
      </c>
      <c r="E70" s="3">
        <v>12</v>
      </c>
      <c r="F70" s="3" t="s">
        <v>12</v>
      </c>
      <c r="G70" s="11" t="s">
        <v>13</v>
      </c>
      <c r="H70" s="5">
        <f t="shared" si="48"/>
        <v>10000</v>
      </c>
      <c r="I70" s="2">
        <f t="shared" si="46"/>
        <v>30000</v>
      </c>
      <c r="J70" s="6">
        <f t="shared" si="47"/>
        <v>100</v>
      </c>
      <c r="K70" s="63">
        <v>24575</v>
      </c>
      <c r="L70" s="38">
        <v>2.6191</v>
      </c>
      <c r="M70" s="38">
        <v>8.9457000000000004</v>
      </c>
      <c r="N70" s="23">
        <v>6.9623999999999997</v>
      </c>
    </row>
    <row r="71" spans="1:19" x14ac:dyDescent="0.25">
      <c r="A71" s="10">
        <v>10000</v>
      </c>
      <c r="B71" s="3">
        <v>3</v>
      </c>
      <c r="C71" s="3">
        <v>100</v>
      </c>
      <c r="D71" s="38">
        <v>2048</v>
      </c>
      <c r="E71" s="3">
        <v>12</v>
      </c>
      <c r="F71" s="3" t="s">
        <v>12</v>
      </c>
      <c r="G71" s="11" t="s">
        <v>13</v>
      </c>
      <c r="H71" s="5">
        <f t="shared" si="48"/>
        <v>10000</v>
      </c>
      <c r="I71" s="2">
        <f t="shared" si="46"/>
        <v>30000</v>
      </c>
      <c r="J71" s="6">
        <f t="shared" si="47"/>
        <v>100</v>
      </c>
      <c r="K71" s="63">
        <v>25309</v>
      </c>
      <c r="L71" s="38">
        <v>2.8754</v>
      </c>
      <c r="M71" s="38">
        <v>9.1494</v>
      </c>
      <c r="N71" s="23">
        <v>7.2449000000000003</v>
      </c>
    </row>
    <row r="72" spans="1:19" x14ac:dyDescent="0.25">
      <c r="A72" s="10">
        <v>10000</v>
      </c>
      <c r="B72" s="3">
        <v>3</v>
      </c>
      <c r="C72" s="3">
        <v>100</v>
      </c>
      <c r="D72" s="38">
        <v>2048</v>
      </c>
      <c r="E72" s="3">
        <v>12</v>
      </c>
      <c r="F72" s="3" t="s">
        <v>12</v>
      </c>
      <c r="G72" s="11" t="s">
        <v>13</v>
      </c>
      <c r="H72" s="5">
        <f t="shared" si="48"/>
        <v>10000</v>
      </c>
      <c r="I72" s="2">
        <f t="shared" si="46"/>
        <v>30000</v>
      </c>
      <c r="J72" s="6">
        <f t="shared" si="47"/>
        <v>100</v>
      </c>
      <c r="K72" s="63">
        <v>25423</v>
      </c>
      <c r="L72" s="38">
        <v>2.8231000000000002</v>
      </c>
      <c r="M72" s="38">
        <v>9.2149000000000001</v>
      </c>
      <c r="N72" s="23">
        <v>7.0856000000000003</v>
      </c>
      <c r="P72">
        <f t="shared" ref="P72" si="49">SUM(K68:K72)/5</f>
        <v>24917.200000000001</v>
      </c>
      <c r="Q72">
        <f t="shared" ref="Q72" si="50">SUM(L68:L72)/5</f>
        <v>2.74024</v>
      </c>
      <c r="R72">
        <f t="shared" ref="R72" si="51">SUM(M68:M72)/5</f>
        <v>9.0408600000000003</v>
      </c>
      <c r="S72">
        <f t="shared" ref="S72" si="52">SUM(N68:N72)/5</f>
        <v>6.9042200000000005</v>
      </c>
    </row>
    <row r="73" spans="1:19" x14ac:dyDescent="0.25">
      <c r="A73" s="10">
        <v>10000</v>
      </c>
      <c r="B73" s="3">
        <v>3</v>
      </c>
      <c r="C73" s="3">
        <v>100</v>
      </c>
      <c r="D73" s="27">
        <v>4096</v>
      </c>
      <c r="E73" s="3">
        <v>12</v>
      </c>
      <c r="F73" s="3" t="s">
        <v>12</v>
      </c>
      <c r="G73" s="11" t="s">
        <v>13</v>
      </c>
      <c r="H73" s="5">
        <f t="shared" si="48"/>
        <v>10000</v>
      </c>
      <c r="I73" s="2">
        <f t="shared" si="46"/>
        <v>30000</v>
      </c>
      <c r="J73" s="6">
        <f t="shared" si="47"/>
        <v>100</v>
      </c>
      <c r="K73" s="61">
        <v>25266</v>
      </c>
      <c r="L73" s="27">
        <v>2.6743000000000001</v>
      </c>
      <c r="M73" s="27">
        <v>9.2047000000000008</v>
      </c>
      <c r="N73" s="25">
        <v>6.5643000000000002</v>
      </c>
    </row>
    <row r="74" spans="1:19" x14ac:dyDescent="0.25">
      <c r="A74" s="10">
        <v>10000</v>
      </c>
      <c r="B74" s="3">
        <v>3</v>
      </c>
      <c r="C74" s="3">
        <v>100</v>
      </c>
      <c r="D74" s="27">
        <v>4096</v>
      </c>
      <c r="E74" s="3">
        <v>12</v>
      </c>
      <c r="F74" s="3" t="s">
        <v>12</v>
      </c>
      <c r="G74" s="11" t="s">
        <v>13</v>
      </c>
      <c r="H74" s="5">
        <f t="shared" ref="H74:H78" si="53">A74</f>
        <v>10000</v>
      </c>
      <c r="I74" s="2">
        <f t="shared" si="46"/>
        <v>30000</v>
      </c>
      <c r="J74" s="6">
        <f t="shared" si="47"/>
        <v>100</v>
      </c>
      <c r="K74" s="61">
        <v>25174</v>
      </c>
      <c r="L74" s="27">
        <v>2.6556000000000002</v>
      </c>
      <c r="M74" s="27">
        <v>9.1692</v>
      </c>
      <c r="N74" s="25">
        <v>6.8270999999999997</v>
      </c>
    </row>
    <row r="75" spans="1:19" x14ac:dyDescent="0.25">
      <c r="A75" s="10">
        <v>10000</v>
      </c>
      <c r="B75" s="3">
        <v>3</v>
      </c>
      <c r="C75" s="3">
        <v>100</v>
      </c>
      <c r="D75" s="27">
        <v>4096</v>
      </c>
      <c r="E75" s="3">
        <v>12</v>
      </c>
      <c r="F75" s="3" t="s">
        <v>12</v>
      </c>
      <c r="G75" s="11" t="s">
        <v>13</v>
      </c>
      <c r="H75" s="5">
        <f t="shared" si="53"/>
        <v>10000</v>
      </c>
      <c r="I75" s="2">
        <f t="shared" si="46"/>
        <v>30000</v>
      </c>
      <c r="J75" s="6">
        <f t="shared" si="47"/>
        <v>100</v>
      </c>
      <c r="K75" s="61">
        <v>25059</v>
      </c>
      <c r="L75" s="27">
        <v>2.6532</v>
      </c>
      <c r="M75" s="27">
        <v>9.1240000000000006</v>
      </c>
      <c r="N75" s="25">
        <v>7.1627000000000001</v>
      </c>
    </row>
    <row r="76" spans="1:19" x14ac:dyDescent="0.25">
      <c r="A76" s="10">
        <v>10000</v>
      </c>
      <c r="B76" s="3">
        <v>3</v>
      </c>
      <c r="C76" s="3">
        <v>100</v>
      </c>
      <c r="D76" s="27">
        <v>4096</v>
      </c>
      <c r="E76" s="3">
        <v>12</v>
      </c>
      <c r="F76" s="3" t="s">
        <v>12</v>
      </c>
      <c r="G76" s="11" t="s">
        <v>13</v>
      </c>
      <c r="H76" s="5">
        <f t="shared" si="53"/>
        <v>10000</v>
      </c>
      <c r="I76" s="2">
        <f t="shared" si="46"/>
        <v>30000</v>
      </c>
      <c r="J76" s="6">
        <f t="shared" si="47"/>
        <v>100</v>
      </c>
      <c r="K76" s="61">
        <v>25704</v>
      </c>
      <c r="L76" s="27">
        <v>2.8915999999999999</v>
      </c>
      <c r="M76" s="27">
        <v>9.3056999999999999</v>
      </c>
      <c r="N76" s="25">
        <v>6.5579000000000001</v>
      </c>
    </row>
    <row r="77" spans="1:19" x14ac:dyDescent="0.25">
      <c r="A77" s="10">
        <v>10000</v>
      </c>
      <c r="B77" s="3">
        <v>3</v>
      </c>
      <c r="C77" s="3">
        <v>100</v>
      </c>
      <c r="D77" s="27">
        <v>4096</v>
      </c>
      <c r="E77" s="3">
        <v>12</v>
      </c>
      <c r="F77" s="3" t="s">
        <v>12</v>
      </c>
      <c r="G77" s="11" t="s">
        <v>13</v>
      </c>
      <c r="H77" s="5">
        <f t="shared" si="53"/>
        <v>10000</v>
      </c>
      <c r="I77" s="2">
        <f t="shared" si="46"/>
        <v>30000</v>
      </c>
      <c r="J77" s="6">
        <f t="shared" si="47"/>
        <v>100</v>
      </c>
      <c r="K77" s="61">
        <v>26775</v>
      </c>
      <c r="L77" s="27">
        <v>3.0668000000000002</v>
      </c>
      <c r="M77" s="27">
        <v>9.6675000000000004</v>
      </c>
      <c r="N77" s="25">
        <v>5.7279</v>
      </c>
      <c r="P77">
        <f t="shared" ref="P77" si="54">SUM(K73:K77)/5</f>
        <v>25595.599999999999</v>
      </c>
      <c r="Q77">
        <f t="shared" ref="Q77" si="55">SUM(L73:L77)/5</f>
        <v>2.7883000000000004</v>
      </c>
      <c r="R77">
        <f t="shared" ref="R77" si="56">SUM(M73:M77)/5</f>
        <v>9.294220000000001</v>
      </c>
      <c r="S77">
        <f t="shared" ref="S77" si="57">SUM(N73:N77)/5</f>
        <v>6.5679800000000004</v>
      </c>
    </row>
    <row r="78" spans="1:19" x14ac:dyDescent="0.25">
      <c r="A78" s="10">
        <v>10000</v>
      </c>
      <c r="B78" s="3">
        <v>3</v>
      </c>
      <c r="C78" s="3">
        <v>100</v>
      </c>
      <c r="D78" s="28">
        <v>8192</v>
      </c>
      <c r="E78" s="3">
        <v>12</v>
      </c>
      <c r="F78" s="3" t="s">
        <v>12</v>
      </c>
      <c r="G78" s="11" t="s">
        <v>13</v>
      </c>
      <c r="H78" s="5">
        <f t="shared" si="53"/>
        <v>10000</v>
      </c>
      <c r="I78" s="2">
        <f t="shared" si="46"/>
        <v>30000</v>
      </c>
      <c r="J78" s="6">
        <f t="shared" si="47"/>
        <v>100</v>
      </c>
      <c r="K78" s="62">
        <v>25675</v>
      </c>
      <c r="L78" s="28">
        <v>2.8910999999999998</v>
      </c>
      <c r="M78" s="28">
        <v>9.2942</v>
      </c>
      <c r="N78" s="24">
        <v>6.7133000000000003</v>
      </c>
    </row>
    <row r="79" spans="1:19" x14ac:dyDescent="0.25">
      <c r="A79" s="10">
        <v>10000</v>
      </c>
      <c r="B79" s="3">
        <v>3</v>
      </c>
      <c r="C79" s="3">
        <v>100</v>
      </c>
      <c r="D79" s="28">
        <v>8192</v>
      </c>
      <c r="E79" s="3">
        <v>12</v>
      </c>
      <c r="F79" s="3" t="s">
        <v>12</v>
      </c>
      <c r="G79" s="11" t="s">
        <v>13</v>
      </c>
      <c r="H79" s="5">
        <f t="shared" ref="H79:H82" si="58">A79</f>
        <v>10000</v>
      </c>
      <c r="I79" s="2">
        <f t="shared" si="46"/>
        <v>30000</v>
      </c>
      <c r="J79" s="6">
        <f t="shared" si="47"/>
        <v>100</v>
      </c>
      <c r="K79" s="62">
        <v>25869</v>
      </c>
      <c r="L79" s="28">
        <v>2.8260000000000001</v>
      </c>
      <c r="M79" s="28">
        <v>9.3871000000000002</v>
      </c>
      <c r="N79" s="24">
        <v>6.5316999999999998</v>
      </c>
    </row>
    <row r="80" spans="1:19" x14ac:dyDescent="0.25">
      <c r="A80" s="10">
        <v>10000</v>
      </c>
      <c r="B80" s="3">
        <v>3</v>
      </c>
      <c r="C80" s="3">
        <v>100</v>
      </c>
      <c r="D80" s="28">
        <v>8192</v>
      </c>
      <c r="E80" s="3">
        <v>12</v>
      </c>
      <c r="F80" s="3" t="s">
        <v>12</v>
      </c>
      <c r="G80" s="11" t="s">
        <v>13</v>
      </c>
      <c r="H80" s="5">
        <f t="shared" si="58"/>
        <v>10000</v>
      </c>
      <c r="I80" s="2">
        <f t="shared" si="46"/>
        <v>30000</v>
      </c>
      <c r="J80" s="6">
        <f t="shared" si="47"/>
        <v>100</v>
      </c>
      <c r="K80" s="62">
        <v>25549</v>
      </c>
      <c r="L80" s="28">
        <v>2.7875999999999999</v>
      </c>
      <c r="M80" s="28">
        <v>9.2720000000000002</v>
      </c>
      <c r="N80" s="24">
        <v>6.8146000000000004</v>
      </c>
    </row>
    <row r="81" spans="1:24" ht="15.75" thickBot="1" x14ac:dyDescent="0.3">
      <c r="A81" s="10">
        <v>10000</v>
      </c>
      <c r="B81" s="3">
        <v>3</v>
      </c>
      <c r="C81" s="3">
        <v>100</v>
      </c>
      <c r="D81" s="28">
        <v>8192</v>
      </c>
      <c r="E81" s="3">
        <v>12</v>
      </c>
      <c r="F81" s="3" t="s">
        <v>12</v>
      </c>
      <c r="G81" s="11" t="s">
        <v>13</v>
      </c>
      <c r="H81" s="5">
        <f t="shared" si="58"/>
        <v>10000</v>
      </c>
      <c r="I81" s="2">
        <f t="shared" si="46"/>
        <v>30000</v>
      </c>
      <c r="J81" s="6">
        <f t="shared" si="47"/>
        <v>100</v>
      </c>
      <c r="K81" s="62">
        <v>26276</v>
      </c>
      <c r="L81" s="28">
        <v>2.8591000000000002</v>
      </c>
      <c r="M81" s="28">
        <v>9.5374999999999996</v>
      </c>
      <c r="N81" s="24">
        <v>6.8635000000000002</v>
      </c>
      <c r="U81" t="s">
        <v>7</v>
      </c>
      <c r="V81" s="89" t="s">
        <v>22</v>
      </c>
      <c r="W81" s="89" t="s">
        <v>23</v>
      </c>
      <c r="X81" s="89" t="s">
        <v>24</v>
      </c>
    </row>
    <row r="82" spans="1:24" x14ac:dyDescent="0.25">
      <c r="A82" s="10">
        <v>10000</v>
      </c>
      <c r="B82" s="3">
        <v>3</v>
      </c>
      <c r="C82" s="3">
        <v>100</v>
      </c>
      <c r="D82" s="28">
        <v>8192</v>
      </c>
      <c r="E82" s="3">
        <v>12</v>
      </c>
      <c r="F82" s="3" t="s">
        <v>12</v>
      </c>
      <c r="G82" s="11" t="s">
        <v>13</v>
      </c>
      <c r="H82" s="5">
        <f t="shared" si="58"/>
        <v>10000</v>
      </c>
      <c r="I82" s="2">
        <f t="shared" si="46"/>
        <v>30000</v>
      </c>
      <c r="J82" s="6">
        <f t="shared" si="47"/>
        <v>100</v>
      </c>
      <c r="K82" s="62">
        <v>26959</v>
      </c>
      <c r="L82" s="28">
        <v>3.1196999999999999</v>
      </c>
      <c r="M82" s="28">
        <v>9.7289999999999992</v>
      </c>
      <c r="N82" s="24">
        <v>6.8133999999999997</v>
      </c>
      <c r="P82">
        <f t="shared" ref="P82" si="59">SUM(K78:K82)/5</f>
        <v>26065.599999999999</v>
      </c>
      <c r="Q82">
        <f t="shared" ref="Q82" si="60">SUM(L78:L82)/5</f>
        <v>2.8967000000000001</v>
      </c>
      <c r="R82">
        <f>SUM(M78:M82)/5</f>
        <v>9.4439600000000006</v>
      </c>
      <c r="S82">
        <f t="shared" ref="S82" si="61">SUM(N78:N82)/5</f>
        <v>6.747300000000001</v>
      </c>
      <c r="U82" s="45" t="s">
        <v>31</v>
      </c>
      <c r="V82">
        <f>Q62</f>
        <v>2.6680800000000002</v>
      </c>
      <c r="W82">
        <f t="shared" ref="W82:X82" si="62">R62</f>
        <v>8.8397199999999998</v>
      </c>
      <c r="X82">
        <f t="shared" si="62"/>
        <v>7.2908600000000003</v>
      </c>
    </row>
    <row r="83" spans="1:24" x14ac:dyDescent="0.25">
      <c r="A83" s="10">
        <v>10000</v>
      </c>
      <c r="B83" s="3">
        <v>3</v>
      </c>
      <c r="C83" s="3">
        <v>100</v>
      </c>
      <c r="D83" s="38">
        <v>16384</v>
      </c>
      <c r="E83" s="3">
        <v>12</v>
      </c>
      <c r="F83" s="3" t="s">
        <v>12</v>
      </c>
      <c r="G83" s="11" t="s">
        <v>13</v>
      </c>
      <c r="H83" s="5">
        <f t="shared" ref="H83:H102" si="63">A83</f>
        <v>10000</v>
      </c>
      <c r="I83" s="2">
        <f t="shared" si="46"/>
        <v>30000</v>
      </c>
      <c r="J83" s="6">
        <f t="shared" si="47"/>
        <v>100</v>
      </c>
      <c r="K83" s="63">
        <v>26612</v>
      </c>
      <c r="L83" s="38">
        <v>3.0903999999999998</v>
      </c>
      <c r="M83" s="38">
        <v>9.5954999999999995</v>
      </c>
      <c r="N83" s="23">
        <v>6.9104000000000001</v>
      </c>
      <c r="U83" s="28" t="s">
        <v>32</v>
      </c>
      <c r="V83">
        <f>Q67</f>
        <v>2.6248800000000001</v>
      </c>
      <c r="W83">
        <f t="shared" ref="W83:X83" si="64">R67</f>
        <v>9.1209799999999994</v>
      </c>
      <c r="X83">
        <f t="shared" si="64"/>
        <v>6.4568399999999997</v>
      </c>
    </row>
    <row r="84" spans="1:24" x14ac:dyDescent="0.25">
      <c r="A84" s="10">
        <v>10000</v>
      </c>
      <c r="B84" s="3">
        <v>3</v>
      </c>
      <c r="C84" s="3">
        <v>100</v>
      </c>
      <c r="D84" s="38">
        <v>16384</v>
      </c>
      <c r="E84" s="3">
        <v>12</v>
      </c>
      <c r="F84" s="3" t="s">
        <v>12</v>
      </c>
      <c r="G84" s="11" t="s">
        <v>13</v>
      </c>
      <c r="H84" s="5">
        <f t="shared" si="63"/>
        <v>10000</v>
      </c>
      <c r="I84" s="2">
        <f t="shared" si="46"/>
        <v>30000</v>
      </c>
      <c r="J84" s="6">
        <f t="shared" si="47"/>
        <v>100</v>
      </c>
      <c r="K84" s="63">
        <v>26622</v>
      </c>
      <c r="L84" s="38">
        <v>3.0505</v>
      </c>
      <c r="M84" s="38">
        <v>9.6072000000000006</v>
      </c>
      <c r="N84" s="23">
        <v>7.1051000000000002</v>
      </c>
      <c r="U84" s="38" t="s">
        <v>33</v>
      </c>
      <c r="V84">
        <f>Q72</f>
        <v>2.74024</v>
      </c>
      <c r="W84">
        <f t="shared" ref="W84:X84" si="65">R72</f>
        <v>9.0408600000000003</v>
      </c>
      <c r="X84">
        <f t="shared" si="65"/>
        <v>6.9042200000000005</v>
      </c>
    </row>
    <row r="85" spans="1:24" x14ac:dyDescent="0.25">
      <c r="A85" s="10">
        <v>10000</v>
      </c>
      <c r="B85" s="3">
        <v>3</v>
      </c>
      <c r="C85" s="3">
        <v>100</v>
      </c>
      <c r="D85" s="38">
        <v>16384</v>
      </c>
      <c r="E85" s="3">
        <v>12</v>
      </c>
      <c r="F85" s="3" t="s">
        <v>12</v>
      </c>
      <c r="G85" s="11" t="s">
        <v>13</v>
      </c>
      <c r="H85" s="5">
        <f t="shared" si="63"/>
        <v>10000</v>
      </c>
      <c r="I85" s="2">
        <f t="shared" si="46"/>
        <v>30000</v>
      </c>
      <c r="J85" s="6">
        <f t="shared" si="47"/>
        <v>100</v>
      </c>
      <c r="K85" s="63">
        <v>27178</v>
      </c>
      <c r="L85" s="38">
        <v>3.1427999999999998</v>
      </c>
      <c r="M85" s="38">
        <v>9.8049999999999997</v>
      </c>
      <c r="N85" s="23">
        <v>6.6456999999999997</v>
      </c>
      <c r="U85" s="28" t="s">
        <v>34</v>
      </c>
      <c r="V85">
        <f>Q77</f>
        <v>2.7883000000000004</v>
      </c>
      <c r="W85">
        <f t="shared" ref="W85:X85" si="66">R77</f>
        <v>9.294220000000001</v>
      </c>
      <c r="X85">
        <f t="shared" si="66"/>
        <v>6.5679800000000004</v>
      </c>
    </row>
    <row r="86" spans="1:24" x14ac:dyDescent="0.25">
      <c r="A86" s="10">
        <v>10000</v>
      </c>
      <c r="B86" s="3">
        <v>3</v>
      </c>
      <c r="C86" s="3">
        <v>100</v>
      </c>
      <c r="D86" s="38">
        <v>16384</v>
      </c>
      <c r="E86" s="3">
        <v>12</v>
      </c>
      <c r="F86" s="3" t="s">
        <v>12</v>
      </c>
      <c r="G86" s="11" t="s">
        <v>13</v>
      </c>
      <c r="H86" s="5">
        <f t="shared" si="63"/>
        <v>10000</v>
      </c>
      <c r="I86" s="2">
        <f t="shared" si="46"/>
        <v>30000</v>
      </c>
      <c r="J86" s="6">
        <f t="shared" si="47"/>
        <v>100</v>
      </c>
      <c r="K86" s="63">
        <v>26419</v>
      </c>
      <c r="L86" s="38">
        <v>3.0350999999999999</v>
      </c>
      <c r="M86" s="38">
        <v>9.5367999999999995</v>
      </c>
      <c r="N86" s="23">
        <v>7.0894000000000004</v>
      </c>
      <c r="U86" s="27" t="s">
        <v>35</v>
      </c>
      <c r="V86">
        <f>Q82</f>
        <v>2.8967000000000001</v>
      </c>
      <c r="W86">
        <f t="shared" ref="W86:X86" si="67">R82</f>
        <v>9.4439600000000006</v>
      </c>
      <c r="X86">
        <f t="shared" si="67"/>
        <v>6.747300000000001</v>
      </c>
    </row>
    <row r="87" spans="1:24" ht="15.75" thickBot="1" x14ac:dyDescent="0.3">
      <c r="A87" s="12">
        <v>10000</v>
      </c>
      <c r="B87" s="13">
        <v>3</v>
      </c>
      <c r="C87" s="13">
        <v>100</v>
      </c>
      <c r="D87" s="47">
        <v>16384</v>
      </c>
      <c r="E87" s="13">
        <v>12</v>
      </c>
      <c r="F87" s="13" t="s">
        <v>12</v>
      </c>
      <c r="G87" s="14" t="s">
        <v>13</v>
      </c>
      <c r="H87" s="7">
        <f t="shared" si="63"/>
        <v>10000</v>
      </c>
      <c r="I87" s="8">
        <f t="shared" si="46"/>
        <v>30000</v>
      </c>
      <c r="J87" s="9">
        <f t="shared" si="47"/>
        <v>100</v>
      </c>
      <c r="K87" s="64">
        <v>26379</v>
      </c>
      <c r="L87" s="47">
        <v>3.1065</v>
      </c>
      <c r="M87" s="47">
        <v>9.5006000000000004</v>
      </c>
      <c r="N87" s="31">
        <v>6.7618999999999998</v>
      </c>
      <c r="P87">
        <f>SUM(K83:K86)/5</f>
        <v>21366.2</v>
      </c>
      <c r="Q87">
        <f>SUM(L83:L86)/5</f>
        <v>2.4637599999999997</v>
      </c>
      <c r="R87">
        <f>SUM(M83:M87)/5</f>
        <v>9.6090199999999992</v>
      </c>
      <c r="S87">
        <f>SUM(N83:N86)/5</f>
        <v>5.5501200000000006</v>
      </c>
      <c r="U87" s="38" t="s">
        <v>36</v>
      </c>
      <c r="V87">
        <f>Q87</f>
        <v>2.4637599999999997</v>
      </c>
      <c r="W87">
        <f t="shared" ref="W87:X87" si="68">R87</f>
        <v>9.6090199999999992</v>
      </c>
      <c r="X87">
        <f t="shared" si="68"/>
        <v>5.5501200000000006</v>
      </c>
    </row>
    <row r="88" spans="1:24" x14ac:dyDescent="0.25">
      <c r="A88" s="35">
        <v>10000</v>
      </c>
      <c r="B88" s="36">
        <v>3</v>
      </c>
      <c r="C88" s="45">
        <v>10</v>
      </c>
      <c r="D88" s="36">
        <v>2048</v>
      </c>
      <c r="E88" s="36">
        <v>12</v>
      </c>
      <c r="F88" s="36" t="s">
        <v>12</v>
      </c>
      <c r="G88" s="37" t="s">
        <v>13</v>
      </c>
      <c r="H88" s="32">
        <f t="shared" si="63"/>
        <v>10000</v>
      </c>
      <c r="I88" s="33">
        <f t="shared" ref="I88:I119" si="69">A88*B88</f>
        <v>30000</v>
      </c>
      <c r="J88" s="68">
        <f t="shared" ref="J88:J119" si="70">A88/C88</f>
        <v>1000</v>
      </c>
      <c r="K88" s="44">
        <v>25783</v>
      </c>
      <c r="L88" s="45">
        <v>2.7961999999999998</v>
      </c>
      <c r="M88" s="45">
        <v>9.3492999999999995</v>
      </c>
      <c r="N88" s="30">
        <v>1.2090000000000001</v>
      </c>
    </row>
    <row r="89" spans="1:24" x14ac:dyDescent="0.25">
      <c r="A89" s="10">
        <v>10000</v>
      </c>
      <c r="B89" s="3">
        <v>3</v>
      </c>
      <c r="C89" s="27">
        <v>10</v>
      </c>
      <c r="D89" s="3">
        <v>2048</v>
      </c>
      <c r="E89" s="3">
        <v>12</v>
      </c>
      <c r="F89" s="3" t="s">
        <v>12</v>
      </c>
      <c r="G89" s="11" t="s">
        <v>13</v>
      </c>
      <c r="H89" s="5">
        <f t="shared" si="63"/>
        <v>10000</v>
      </c>
      <c r="I89" s="2">
        <f t="shared" si="69"/>
        <v>30000</v>
      </c>
      <c r="J89" s="21">
        <f t="shared" si="70"/>
        <v>1000</v>
      </c>
      <c r="K89" s="40">
        <v>25212</v>
      </c>
      <c r="L89" s="27">
        <v>2.7469000000000001</v>
      </c>
      <c r="M89" s="27">
        <v>9.1318999999999999</v>
      </c>
      <c r="N89" s="25">
        <v>0.9637</v>
      </c>
    </row>
    <row r="90" spans="1:24" x14ac:dyDescent="0.25">
      <c r="A90" s="10">
        <v>10000</v>
      </c>
      <c r="B90" s="3">
        <v>3</v>
      </c>
      <c r="C90" s="27">
        <v>10</v>
      </c>
      <c r="D90" s="3">
        <v>2048</v>
      </c>
      <c r="E90" s="3">
        <v>12</v>
      </c>
      <c r="F90" s="3" t="s">
        <v>12</v>
      </c>
      <c r="G90" s="11" t="s">
        <v>13</v>
      </c>
      <c r="H90" s="5">
        <f t="shared" si="63"/>
        <v>10000</v>
      </c>
      <c r="I90" s="2">
        <f t="shared" si="69"/>
        <v>30000</v>
      </c>
      <c r="J90" s="21">
        <f t="shared" si="70"/>
        <v>1000</v>
      </c>
      <c r="K90" s="40">
        <v>25115</v>
      </c>
      <c r="L90" s="27">
        <v>2.6314000000000002</v>
      </c>
      <c r="M90" s="27">
        <v>9.1504999999999992</v>
      </c>
      <c r="N90" s="25">
        <v>0.97850000000000004</v>
      </c>
    </row>
    <row r="91" spans="1:24" x14ac:dyDescent="0.25">
      <c r="A91" s="10">
        <v>10000</v>
      </c>
      <c r="B91" s="3">
        <v>3</v>
      </c>
      <c r="C91" s="27">
        <v>10</v>
      </c>
      <c r="D91" s="3">
        <v>2048</v>
      </c>
      <c r="E91" s="3">
        <v>12</v>
      </c>
      <c r="F91" s="3" t="s">
        <v>12</v>
      </c>
      <c r="G91" s="11" t="s">
        <v>13</v>
      </c>
      <c r="H91" s="5">
        <f t="shared" si="63"/>
        <v>10000</v>
      </c>
      <c r="I91" s="2">
        <f t="shared" si="69"/>
        <v>30000</v>
      </c>
      <c r="J91" s="21">
        <f t="shared" si="70"/>
        <v>1000</v>
      </c>
      <c r="K91" s="40">
        <v>25161</v>
      </c>
      <c r="L91" s="27">
        <v>2.6838000000000002</v>
      </c>
      <c r="M91" s="27">
        <v>9.1479999999999997</v>
      </c>
      <c r="N91" s="25">
        <v>0.95440000000000003</v>
      </c>
    </row>
    <row r="92" spans="1:24" x14ac:dyDescent="0.25">
      <c r="A92" s="10">
        <v>10000</v>
      </c>
      <c r="B92" s="3">
        <v>3</v>
      </c>
      <c r="C92" s="27">
        <v>10</v>
      </c>
      <c r="D92" s="3">
        <v>2048</v>
      </c>
      <c r="E92" s="3">
        <v>12</v>
      </c>
      <c r="F92" s="3" t="s">
        <v>12</v>
      </c>
      <c r="G92" s="11" t="s">
        <v>13</v>
      </c>
      <c r="H92" s="5">
        <f t="shared" si="63"/>
        <v>10000</v>
      </c>
      <c r="I92" s="2">
        <f t="shared" si="69"/>
        <v>30000</v>
      </c>
      <c r="J92" s="21">
        <f t="shared" si="70"/>
        <v>1000</v>
      </c>
      <c r="K92" s="40">
        <v>25863</v>
      </c>
      <c r="L92" s="27">
        <v>2.8542000000000001</v>
      </c>
      <c r="M92" s="27">
        <v>9.3658000000000001</v>
      </c>
      <c r="N92" s="25">
        <v>0.8992</v>
      </c>
      <c r="P92">
        <f t="shared" ref="P92" si="71">SUM(K88:K92)/5</f>
        <v>25426.799999999999</v>
      </c>
      <c r="Q92">
        <f t="shared" ref="Q92" si="72">SUM(L88:L92)/5</f>
        <v>2.7425000000000002</v>
      </c>
      <c r="R92">
        <f t="shared" ref="R92" si="73">SUM(M88:M92)/5</f>
        <v>9.2291000000000007</v>
      </c>
      <c r="S92" t="b">
        <f>Q27=SUM(N88:N92)/5</f>
        <v>0</v>
      </c>
    </row>
    <row r="93" spans="1:24" x14ac:dyDescent="0.25">
      <c r="A93" s="10">
        <v>10000</v>
      </c>
      <c r="B93" s="3">
        <v>3</v>
      </c>
      <c r="C93" s="28">
        <v>50</v>
      </c>
      <c r="D93" s="3">
        <v>2048</v>
      </c>
      <c r="E93" s="3">
        <v>12</v>
      </c>
      <c r="F93" s="3" t="s">
        <v>12</v>
      </c>
      <c r="G93" s="11" t="s">
        <v>13</v>
      </c>
      <c r="H93" s="5">
        <f t="shared" si="63"/>
        <v>10000</v>
      </c>
      <c r="I93" s="2">
        <f t="shared" si="69"/>
        <v>30000</v>
      </c>
      <c r="J93" s="22">
        <f t="shared" si="70"/>
        <v>200</v>
      </c>
      <c r="K93" s="41">
        <v>25739</v>
      </c>
      <c r="L93" s="28">
        <v>2.7797999999999998</v>
      </c>
      <c r="M93" s="28">
        <v>9.3480000000000008</v>
      </c>
      <c r="N93" s="24">
        <v>3.9205999999999999</v>
      </c>
    </row>
    <row r="94" spans="1:24" x14ac:dyDescent="0.25">
      <c r="A94" s="10">
        <v>10000</v>
      </c>
      <c r="B94" s="3">
        <v>3</v>
      </c>
      <c r="C94" s="28">
        <v>50</v>
      </c>
      <c r="D94" s="3">
        <v>2048</v>
      </c>
      <c r="E94" s="3">
        <v>12</v>
      </c>
      <c r="F94" s="3" t="s">
        <v>12</v>
      </c>
      <c r="G94" s="11" t="s">
        <v>13</v>
      </c>
      <c r="H94" s="5">
        <f t="shared" si="63"/>
        <v>10000</v>
      </c>
      <c r="I94" s="2">
        <f t="shared" si="69"/>
        <v>30000</v>
      </c>
      <c r="J94" s="22">
        <f t="shared" si="70"/>
        <v>200</v>
      </c>
      <c r="K94" s="41">
        <v>25794</v>
      </c>
      <c r="L94" s="28">
        <v>2.8391999999999999</v>
      </c>
      <c r="M94" s="28">
        <v>9.3531999999999993</v>
      </c>
      <c r="N94" s="24">
        <v>3.2313000000000001</v>
      </c>
    </row>
    <row r="95" spans="1:24" x14ac:dyDescent="0.25">
      <c r="A95" s="10">
        <v>10000</v>
      </c>
      <c r="B95" s="3">
        <v>3</v>
      </c>
      <c r="C95" s="28">
        <v>50</v>
      </c>
      <c r="D95" s="3">
        <v>2048</v>
      </c>
      <c r="E95" s="3">
        <v>12</v>
      </c>
      <c r="F95" s="3" t="s">
        <v>12</v>
      </c>
      <c r="G95" s="11" t="s">
        <v>13</v>
      </c>
      <c r="H95" s="5">
        <f t="shared" si="63"/>
        <v>10000</v>
      </c>
      <c r="I95" s="2">
        <f t="shared" si="69"/>
        <v>30000</v>
      </c>
      <c r="J95" s="22">
        <f t="shared" si="70"/>
        <v>200</v>
      </c>
      <c r="K95" s="41">
        <v>25680</v>
      </c>
      <c r="L95" s="28">
        <v>2.8249</v>
      </c>
      <c r="M95" s="28">
        <v>9.3154000000000003</v>
      </c>
      <c r="N95" s="24">
        <v>3.1080999999999999</v>
      </c>
    </row>
    <row r="96" spans="1:24" x14ac:dyDescent="0.25">
      <c r="A96" s="10">
        <v>10000</v>
      </c>
      <c r="B96" s="3">
        <v>3</v>
      </c>
      <c r="C96" s="28">
        <v>50</v>
      </c>
      <c r="D96" s="3">
        <v>2048</v>
      </c>
      <c r="E96" s="3">
        <v>12</v>
      </c>
      <c r="F96" s="3" t="s">
        <v>12</v>
      </c>
      <c r="G96" s="11" t="s">
        <v>13</v>
      </c>
      <c r="H96" s="5">
        <f t="shared" si="63"/>
        <v>10000</v>
      </c>
      <c r="I96" s="2">
        <f t="shared" si="69"/>
        <v>30000</v>
      </c>
      <c r="J96" s="22">
        <f t="shared" si="70"/>
        <v>200</v>
      </c>
      <c r="K96" s="41">
        <v>25789</v>
      </c>
      <c r="L96" s="28">
        <v>2.7143999999999999</v>
      </c>
      <c r="M96" s="28">
        <v>9.3975000000000009</v>
      </c>
      <c r="N96" s="24">
        <v>3.4967000000000001</v>
      </c>
    </row>
    <row r="97" spans="1:24" x14ac:dyDescent="0.25">
      <c r="A97" s="10">
        <v>10000</v>
      </c>
      <c r="B97" s="3">
        <v>3</v>
      </c>
      <c r="C97" s="28">
        <v>50</v>
      </c>
      <c r="D97" s="3">
        <v>2048</v>
      </c>
      <c r="E97" s="3">
        <v>12</v>
      </c>
      <c r="F97" s="3" t="s">
        <v>12</v>
      </c>
      <c r="G97" s="11" t="s">
        <v>13</v>
      </c>
      <c r="H97" s="5">
        <f t="shared" si="63"/>
        <v>10000</v>
      </c>
      <c r="I97" s="2">
        <f t="shared" si="69"/>
        <v>30000</v>
      </c>
      <c r="J97" s="22">
        <f t="shared" si="70"/>
        <v>200</v>
      </c>
      <c r="K97" s="41">
        <v>25656</v>
      </c>
      <c r="L97" s="28">
        <v>2.7976000000000001</v>
      </c>
      <c r="M97" s="28">
        <v>9.3148999999999997</v>
      </c>
      <c r="N97" s="24">
        <v>3.5621</v>
      </c>
      <c r="P97">
        <f t="shared" ref="P97" si="74">SUM(K93:K97)/5</f>
        <v>25731.599999999999</v>
      </c>
      <c r="Q97">
        <f t="shared" ref="Q97" si="75">SUM(L93:L97)/5</f>
        <v>2.7911799999999998</v>
      </c>
      <c r="R97">
        <f t="shared" ref="R97" si="76">SUM(M93:M97)/5</f>
        <v>9.3458000000000006</v>
      </c>
      <c r="S97">
        <f t="shared" ref="S97" si="77">SUM(N93:N97)/5</f>
        <v>3.4637599999999997</v>
      </c>
    </row>
    <row r="98" spans="1:24" x14ac:dyDescent="0.25">
      <c r="A98" s="10">
        <v>10000</v>
      </c>
      <c r="B98" s="3">
        <v>3</v>
      </c>
      <c r="C98" s="38">
        <v>100</v>
      </c>
      <c r="D98" s="3">
        <v>2048</v>
      </c>
      <c r="E98" s="3">
        <v>12</v>
      </c>
      <c r="F98" s="3" t="s">
        <v>12</v>
      </c>
      <c r="G98" s="11" t="s">
        <v>13</v>
      </c>
      <c r="H98" s="5">
        <f t="shared" si="63"/>
        <v>10000</v>
      </c>
      <c r="I98" s="2">
        <f t="shared" si="69"/>
        <v>30000</v>
      </c>
      <c r="J98" s="69">
        <f t="shared" si="70"/>
        <v>100</v>
      </c>
      <c r="K98" s="46">
        <v>25634</v>
      </c>
      <c r="L98" s="38">
        <v>2.7294999999999998</v>
      </c>
      <c r="M98" s="38">
        <v>9.3299000000000003</v>
      </c>
      <c r="N98" s="23">
        <v>6.8754999999999997</v>
      </c>
    </row>
    <row r="99" spans="1:24" x14ac:dyDescent="0.25">
      <c r="A99" s="10">
        <v>10000</v>
      </c>
      <c r="B99" s="3">
        <v>3</v>
      </c>
      <c r="C99" s="38">
        <v>100</v>
      </c>
      <c r="D99" s="3">
        <v>2048</v>
      </c>
      <c r="E99" s="3">
        <v>12</v>
      </c>
      <c r="F99" s="3" t="s">
        <v>12</v>
      </c>
      <c r="G99" s="11" t="s">
        <v>13</v>
      </c>
      <c r="H99" s="5">
        <f t="shared" si="63"/>
        <v>10000</v>
      </c>
      <c r="I99" s="2">
        <f t="shared" si="69"/>
        <v>30000</v>
      </c>
      <c r="J99" s="69">
        <f t="shared" si="70"/>
        <v>100</v>
      </c>
      <c r="K99" s="46">
        <v>26318</v>
      </c>
      <c r="L99" s="38">
        <v>2.7498</v>
      </c>
      <c r="M99" s="38">
        <v>9.5993999999999993</v>
      </c>
      <c r="N99" s="23">
        <v>6.7930999999999999</v>
      </c>
    </row>
    <row r="100" spans="1:24" x14ac:dyDescent="0.25">
      <c r="A100" s="10">
        <v>10000</v>
      </c>
      <c r="B100" s="3">
        <v>3</v>
      </c>
      <c r="C100" s="38">
        <v>100</v>
      </c>
      <c r="D100" s="3">
        <v>2048</v>
      </c>
      <c r="E100" s="3">
        <v>12</v>
      </c>
      <c r="F100" s="3" t="s">
        <v>12</v>
      </c>
      <c r="G100" s="11" t="s">
        <v>13</v>
      </c>
      <c r="H100" s="5">
        <f t="shared" si="63"/>
        <v>10000</v>
      </c>
      <c r="I100" s="2">
        <f t="shared" si="69"/>
        <v>30000</v>
      </c>
      <c r="J100" s="69">
        <f t="shared" si="70"/>
        <v>100</v>
      </c>
      <c r="K100" s="46">
        <v>25710</v>
      </c>
      <c r="L100" s="38">
        <v>2.6781000000000001</v>
      </c>
      <c r="M100" s="38">
        <v>9.3781999999999996</v>
      </c>
      <c r="N100" s="23">
        <v>7.2590000000000003</v>
      </c>
    </row>
    <row r="101" spans="1:24" x14ac:dyDescent="0.25">
      <c r="A101" s="10">
        <v>10000</v>
      </c>
      <c r="B101" s="3">
        <v>3</v>
      </c>
      <c r="C101" s="38">
        <v>100</v>
      </c>
      <c r="D101" s="3">
        <v>2048</v>
      </c>
      <c r="E101" s="3">
        <v>12</v>
      </c>
      <c r="F101" s="3" t="s">
        <v>12</v>
      </c>
      <c r="G101" s="11" t="s">
        <v>13</v>
      </c>
      <c r="H101" s="5">
        <f t="shared" si="63"/>
        <v>10000</v>
      </c>
      <c r="I101" s="2">
        <f t="shared" si="69"/>
        <v>30000</v>
      </c>
      <c r="J101" s="69">
        <f t="shared" si="70"/>
        <v>100</v>
      </c>
      <c r="K101" s="46">
        <v>25961</v>
      </c>
      <c r="L101" s="38">
        <v>2.5947</v>
      </c>
      <c r="M101" s="38">
        <v>9.5094999999999992</v>
      </c>
      <c r="N101" s="23">
        <v>7.0853999999999999</v>
      </c>
    </row>
    <row r="102" spans="1:24" x14ac:dyDescent="0.25">
      <c r="A102" s="10">
        <v>10000</v>
      </c>
      <c r="B102" s="3">
        <v>3</v>
      </c>
      <c r="C102" s="38">
        <v>100</v>
      </c>
      <c r="D102" s="3">
        <v>2048</v>
      </c>
      <c r="E102" s="3">
        <v>12</v>
      </c>
      <c r="F102" s="3" t="s">
        <v>12</v>
      </c>
      <c r="G102" s="11" t="s">
        <v>13</v>
      </c>
      <c r="H102" s="5">
        <f t="shared" si="63"/>
        <v>10000</v>
      </c>
      <c r="I102" s="2">
        <f t="shared" si="69"/>
        <v>30000</v>
      </c>
      <c r="J102" s="69">
        <f t="shared" si="70"/>
        <v>100</v>
      </c>
      <c r="K102" s="46">
        <v>27119</v>
      </c>
      <c r="L102" s="38">
        <v>3.0438000000000001</v>
      </c>
      <c r="M102" s="38">
        <v>9.8204999999999991</v>
      </c>
      <c r="N102" s="23">
        <v>7.3148</v>
      </c>
      <c r="P102">
        <f t="shared" ref="P102" si="78">SUM(K98:K102)/5</f>
        <v>26148.400000000001</v>
      </c>
      <c r="Q102">
        <f t="shared" ref="Q102" si="79">SUM(L98:L102)/5</f>
        <v>2.7591799999999997</v>
      </c>
      <c r="R102">
        <f t="shared" ref="R102" si="80">SUM(M98:M102)/5</f>
        <v>9.5274999999999981</v>
      </c>
      <c r="S102">
        <f t="shared" ref="S102" si="81">SUM(N98:N102)/5</f>
        <v>7.0655599999999996</v>
      </c>
    </row>
    <row r="103" spans="1:24" x14ac:dyDescent="0.25">
      <c r="A103" s="10">
        <v>10000</v>
      </c>
      <c r="B103" s="3">
        <v>3</v>
      </c>
      <c r="C103" s="27">
        <v>500</v>
      </c>
      <c r="D103" s="3">
        <v>2048</v>
      </c>
      <c r="E103" s="3">
        <v>12</v>
      </c>
      <c r="F103" s="3" t="s">
        <v>12</v>
      </c>
      <c r="G103" s="11" t="s">
        <v>13</v>
      </c>
      <c r="H103" s="5">
        <f t="shared" ref="H103:H112" si="82">A103</f>
        <v>10000</v>
      </c>
      <c r="I103" s="2">
        <f t="shared" si="69"/>
        <v>30000</v>
      </c>
      <c r="J103" s="21">
        <f t="shared" si="70"/>
        <v>20</v>
      </c>
      <c r="K103" s="40">
        <v>26440</v>
      </c>
      <c r="L103" s="27">
        <v>2.8167</v>
      </c>
      <c r="M103" s="27">
        <v>9.6195000000000004</v>
      </c>
      <c r="N103" s="25">
        <v>35.682299999999998</v>
      </c>
    </row>
    <row r="104" spans="1:24" x14ac:dyDescent="0.25">
      <c r="A104" s="10">
        <v>10000</v>
      </c>
      <c r="B104" s="3">
        <v>3</v>
      </c>
      <c r="C104" s="27">
        <v>500</v>
      </c>
      <c r="D104" s="3">
        <v>2048</v>
      </c>
      <c r="E104" s="3">
        <v>12</v>
      </c>
      <c r="F104" s="3" t="s">
        <v>12</v>
      </c>
      <c r="G104" s="11" t="s">
        <v>13</v>
      </c>
      <c r="H104" s="5">
        <f t="shared" si="82"/>
        <v>10000</v>
      </c>
      <c r="I104" s="2">
        <f t="shared" si="69"/>
        <v>30000</v>
      </c>
      <c r="J104" s="21">
        <f t="shared" si="70"/>
        <v>20</v>
      </c>
      <c r="K104" s="40">
        <v>26355</v>
      </c>
      <c r="L104" s="27">
        <v>2.9628999999999999</v>
      </c>
      <c r="M104" s="27">
        <v>9.5382999999999996</v>
      </c>
      <c r="N104" s="25">
        <v>36.105600000000003</v>
      </c>
    </row>
    <row r="105" spans="1:24" x14ac:dyDescent="0.25">
      <c r="A105" s="10">
        <v>10000</v>
      </c>
      <c r="B105" s="3">
        <v>3</v>
      </c>
      <c r="C105" s="27">
        <v>500</v>
      </c>
      <c r="D105" s="3">
        <v>2048</v>
      </c>
      <c r="E105" s="3">
        <v>12</v>
      </c>
      <c r="F105" s="3" t="s">
        <v>12</v>
      </c>
      <c r="G105" s="11" t="s">
        <v>13</v>
      </c>
      <c r="H105" s="5">
        <f t="shared" si="82"/>
        <v>10000</v>
      </c>
      <c r="I105" s="2">
        <f t="shared" si="69"/>
        <v>30000</v>
      </c>
      <c r="J105" s="21">
        <f t="shared" si="70"/>
        <v>20</v>
      </c>
      <c r="K105" s="40">
        <v>26764</v>
      </c>
      <c r="L105" s="27">
        <v>2.9508000000000001</v>
      </c>
      <c r="M105" s="27">
        <v>9.7043999999999997</v>
      </c>
      <c r="N105" s="25">
        <v>34.3416</v>
      </c>
    </row>
    <row r="106" spans="1:24" x14ac:dyDescent="0.25">
      <c r="A106" s="10">
        <v>10000</v>
      </c>
      <c r="B106" s="3">
        <v>3</v>
      </c>
      <c r="C106" s="27">
        <v>500</v>
      </c>
      <c r="D106" s="3">
        <v>2048</v>
      </c>
      <c r="E106" s="3">
        <v>12</v>
      </c>
      <c r="F106" s="3" t="s">
        <v>12</v>
      </c>
      <c r="G106" s="11" t="s">
        <v>13</v>
      </c>
      <c r="H106" s="5">
        <f t="shared" ref="H106:H107" si="83">A106</f>
        <v>10000</v>
      </c>
      <c r="I106" s="2">
        <f t="shared" si="69"/>
        <v>30000</v>
      </c>
      <c r="J106" s="21">
        <f t="shared" si="70"/>
        <v>20</v>
      </c>
      <c r="K106" s="40">
        <v>27248</v>
      </c>
      <c r="L106" s="27">
        <v>3.1255999999999999</v>
      </c>
      <c r="M106" s="27">
        <v>9.8352000000000004</v>
      </c>
      <c r="N106" s="25">
        <v>30.382100000000001</v>
      </c>
    </row>
    <row r="107" spans="1:24" x14ac:dyDescent="0.25">
      <c r="A107" s="10">
        <v>10000</v>
      </c>
      <c r="B107" s="3">
        <v>3</v>
      </c>
      <c r="C107" s="27">
        <v>500</v>
      </c>
      <c r="D107" s="3">
        <v>2048</v>
      </c>
      <c r="E107" s="3">
        <v>12</v>
      </c>
      <c r="F107" s="3" t="s">
        <v>12</v>
      </c>
      <c r="G107" s="11" t="s">
        <v>13</v>
      </c>
      <c r="H107" s="5">
        <f t="shared" si="83"/>
        <v>10000</v>
      </c>
      <c r="I107" s="2">
        <f t="shared" si="69"/>
        <v>30000</v>
      </c>
      <c r="J107" s="21">
        <f t="shared" si="70"/>
        <v>20</v>
      </c>
      <c r="K107" s="40">
        <v>26749</v>
      </c>
      <c r="L107" s="27">
        <v>2.9841000000000002</v>
      </c>
      <c r="M107" s="27">
        <v>9.6841000000000008</v>
      </c>
      <c r="N107" s="25">
        <v>32.863300000000002</v>
      </c>
      <c r="P107">
        <f t="shared" ref="P107" si="84">SUM(K103:K107)/5</f>
        <v>26711.200000000001</v>
      </c>
      <c r="Q107">
        <f t="shared" ref="Q107" si="85">SUM(L103:L107)/5</f>
        <v>2.9680200000000001</v>
      </c>
      <c r="R107">
        <f t="shared" ref="R107" si="86">SUM(M103:M107)/5</f>
        <v>9.6763000000000012</v>
      </c>
      <c r="S107">
        <f t="shared" ref="S107" si="87">SUM(N103:N107)/5</f>
        <v>33.874980000000008</v>
      </c>
      <c r="U107" t="s">
        <v>7</v>
      </c>
      <c r="V107" s="89" t="s">
        <v>22</v>
      </c>
      <c r="W107" s="89" t="s">
        <v>23</v>
      </c>
      <c r="X107" s="89" t="s">
        <v>24</v>
      </c>
    </row>
    <row r="108" spans="1:24" x14ac:dyDescent="0.25">
      <c r="A108" s="10">
        <v>10000</v>
      </c>
      <c r="B108" s="3">
        <v>3</v>
      </c>
      <c r="C108" s="28">
        <v>1000</v>
      </c>
      <c r="D108" s="3">
        <v>2048</v>
      </c>
      <c r="E108" s="3">
        <v>12</v>
      </c>
      <c r="F108" s="3" t="s">
        <v>12</v>
      </c>
      <c r="G108" s="11" t="s">
        <v>13</v>
      </c>
      <c r="H108" s="5">
        <f t="shared" si="82"/>
        <v>10000</v>
      </c>
      <c r="I108" s="2">
        <f t="shared" si="69"/>
        <v>30000</v>
      </c>
      <c r="J108" s="22">
        <f t="shared" si="70"/>
        <v>10</v>
      </c>
      <c r="K108" s="41">
        <v>26599</v>
      </c>
      <c r="L108" s="28">
        <v>3.0468000000000002</v>
      </c>
      <c r="M108" s="28">
        <v>9.6073000000000004</v>
      </c>
      <c r="N108" s="24">
        <v>68.108999999999995</v>
      </c>
      <c r="U108" s="27" t="s">
        <v>37</v>
      </c>
      <c r="V108">
        <f>Q92</f>
        <v>2.7425000000000002</v>
      </c>
      <c r="W108">
        <f>R92</f>
        <v>9.2291000000000007</v>
      </c>
      <c r="X108" t="b">
        <f>S92</f>
        <v>0</v>
      </c>
    </row>
    <row r="109" spans="1:24" x14ac:dyDescent="0.25">
      <c r="A109" s="10">
        <v>10000</v>
      </c>
      <c r="B109" s="3">
        <v>3</v>
      </c>
      <c r="C109" s="28">
        <v>1000</v>
      </c>
      <c r="D109" s="3">
        <v>2048</v>
      </c>
      <c r="E109" s="3">
        <v>12</v>
      </c>
      <c r="F109" s="3" t="s">
        <v>12</v>
      </c>
      <c r="G109" s="11" t="s">
        <v>13</v>
      </c>
      <c r="H109" s="5">
        <f t="shared" si="82"/>
        <v>10000</v>
      </c>
      <c r="I109" s="2">
        <f t="shared" si="69"/>
        <v>30000</v>
      </c>
      <c r="J109" s="22">
        <f t="shared" si="70"/>
        <v>10</v>
      </c>
      <c r="K109" s="41">
        <v>25969</v>
      </c>
      <c r="L109" s="28">
        <v>2.7917999999999998</v>
      </c>
      <c r="M109" s="28">
        <v>9.4360999999999997</v>
      </c>
      <c r="N109" s="24">
        <v>57.985300000000002</v>
      </c>
      <c r="U109" s="28" t="s">
        <v>38</v>
      </c>
      <c r="V109">
        <f>Q97</f>
        <v>2.7911799999999998</v>
      </c>
      <c r="W109">
        <f>R97</f>
        <v>9.3458000000000006</v>
      </c>
      <c r="X109">
        <f>S97</f>
        <v>3.4637599999999997</v>
      </c>
    </row>
    <row r="110" spans="1:24" x14ac:dyDescent="0.25">
      <c r="A110" s="10">
        <v>10000</v>
      </c>
      <c r="B110" s="3">
        <v>3</v>
      </c>
      <c r="C110" s="28">
        <v>1000</v>
      </c>
      <c r="D110" s="3">
        <v>2048</v>
      </c>
      <c r="E110" s="3">
        <v>12</v>
      </c>
      <c r="F110" s="3" t="s">
        <v>12</v>
      </c>
      <c r="G110" s="11" t="s">
        <v>13</v>
      </c>
      <c r="H110" s="5">
        <f t="shared" si="82"/>
        <v>10000</v>
      </c>
      <c r="I110" s="2">
        <f t="shared" si="69"/>
        <v>30000</v>
      </c>
      <c r="J110" s="22">
        <f t="shared" si="70"/>
        <v>10</v>
      </c>
      <c r="K110" s="41">
        <v>27445</v>
      </c>
      <c r="L110" s="28">
        <v>3.1530999999999998</v>
      </c>
      <c r="M110" s="28">
        <v>9.9116999999999997</v>
      </c>
      <c r="N110" s="24">
        <v>73.551900000000003</v>
      </c>
      <c r="U110" s="38" t="s">
        <v>39</v>
      </c>
      <c r="V110">
        <f>Q102</f>
        <v>2.7591799999999997</v>
      </c>
      <c r="W110">
        <f>R102</f>
        <v>9.5274999999999981</v>
      </c>
      <c r="X110">
        <f>S102</f>
        <v>7.0655599999999996</v>
      </c>
    </row>
    <row r="111" spans="1:24" x14ac:dyDescent="0.25">
      <c r="A111" s="10">
        <v>10000</v>
      </c>
      <c r="B111" s="3">
        <v>3</v>
      </c>
      <c r="C111" s="28">
        <v>1000</v>
      </c>
      <c r="D111" s="3">
        <v>2048</v>
      </c>
      <c r="E111" s="3">
        <v>12</v>
      </c>
      <c r="F111" s="3" t="s">
        <v>12</v>
      </c>
      <c r="G111" s="11" t="s">
        <v>13</v>
      </c>
      <c r="H111" s="5">
        <f t="shared" si="82"/>
        <v>10000</v>
      </c>
      <c r="I111" s="2">
        <f t="shared" si="69"/>
        <v>30000</v>
      </c>
      <c r="J111" s="22">
        <f t="shared" si="70"/>
        <v>10</v>
      </c>
      <c r="K111" s="41">
        <v>26613</v>
      </c>
      <c r="L111" s="28">
        <v>2.9293999999999998</v>
      </c>
      <c r="M111" s="28">
        <v>9.6519999999999992</v>
      </c>
      <c r="N111" s="24">
        <v>53.790399999999998</v>
      </c>
      <c r="U111" s="27" t="s">
        <v>40</v>
      </c>
      <c r="V111">
        <f>Q107</f>
        <v>2.9680200000000001</v>
      </c>
      <c r="W111">
        <f>R107</f>
        <v>9.6763000000000012</v>
      </c>
      <c r="X111">
        <f>S107</f>
        <v>33.874980000000008</v>
      </c>
    </row>
    <row r="112" spans="1:24" ht="15.75" thickBot="1" x14ac:dyDescent="0.3">
      <c r="A112" s="12">
        <v>10000</v>
      </c>
      <c r="B112" s="13">
        <v>3</v>
      </c>
      <c r="C112" s="29">
        <v>1000</v>
      </c>
      <c r="D112" s="13">
        <v>2048</v>
      </c>
      <c r="E112" s="13">
        <v>12</v>
      </c>
      <c r="F112" s="13" t="s">
        <v>12</v>
      </c>
      <c r="G112" s="14" t="s">
        <v>13</v>
      </c>
      <c r="H112" s="7">
        <f t="shared" si="82"/>
        <v>10000</v>
      </c>
      <c r="I112" s="8">
        <f t="shared" si="69"/>
        <v>30000</v>
      </c>
      <c r="J112" s="70">
        <f t="shared" si="70"/>
        <v>10</v>
      </c>
      <c r="K112" s="42">
        <v>26234</v>
      </c>
      <c r="L112" s="29">
        <v>2.7924000000000002</v>
      </c>
      <c r="M112" s="29">
        <v>9.5467999999999993</v>
      </c>
      <c r="N112" s="43">
        <v>58.766300000000001</v>
      </c>
      <c r="P112">
        <f t="shared" ref="P112" si="88">SUM(K108:K112)/5</f>
        <v>26572</v>
      </c>
      <c r="Q112">
        <f t="shared" ref="Q112" si="89">SUM(L108:L112)/5</f>
        <v>2.9426999999999999</v>
      </c>
      <c r="R112">
        <f t="shared" ref="R112" si="90">SUM(M108:M112)/5</f>
        <v>9.6307799999999979</v>
      </c>
      <c r="S112">
        <f t="shared" ref="S112" si="91">SUM(N108:N112)/5</f>
        <v>62.440579999999997</v>
      </c>
      <c r="U112" s="28" t="s">
        <v>41</v>
      </c>
      <c r="V112">
        <f>Q112</f>
        <v>2.9426999999999999</v>
      </c>
      <c r="W112">
        <f>R112</f>
        <v>9.6307799999999979</v>
      </c>
      <c r="X112">
        <f>S112</f>
        <v>62.440579999999997</v>
      </c>
    </row>
    <row r="113" spans="1:24" x14ac:dyDescent="0.25">
      <c r="A113" s="35">
        <v>10000</v>
      </c>
      <c r="B113" s="45">
        <v>1</v>
      </c>
      <c r="C113" s="36">
        <v>100</v>
      </c>
      <c r="D113" s="36">
        <v>2048</v>
      </c>
      <c r="E113" s="36">
        <v>12</v>
      </c>
      <c r="F113" s="36" t="s">
        <v>12</v>
      </c>
      <c r="G113" s="37" t="s">
        <v>13</v>
      </c>
      <c r="H113" s="32">
        <f t="shared" ref="H113:H117" si="92">A113</f>
        <v>10000</v>
      </c>
      <c r="I113" s="52">
        <f t="shared" si="69"/>
        <v>10000</v>
      </c>
      <c r="J113" s="34">
        <f t="shared" si="70"/>
        <v>100</v>
      </c>
      <c r="K113" s="60">
        <v>9120</v>
      </c>
      <c r="L113" s="45">
        <v>2.0179999999999998</v>
      </c>
      <c r="M113" s="45">
        <v>8.8201000000000001</v>
      </c>
      <c r="N113" s="30">
        <v>7.9085999999999999</v>
      </c>
    </row>
    <row r="114" spans="1:24" x14ac:dyDescent="0.25">
      <c r="A114" s="10">
        <v>10000</v>
      </c>
      <c r="B114" s="27">
        <v>1</v>
      </c>
      <c r="C114" s="3">
        <v>100</v>
      </c>
      <c r="D114" s="3">
        <v>2048</v>
      </c>
      <c r="E114" s="3">
        <v>12</v>
      </c>
      <c r="F114" s="3" t="s">
        <v>12</v>
      </c>
      <c r="G114" s="11" t="s">
        <v>13</v>
      </c>
      <c r="H114" s="5">
        <f t="shared" si="92"/>
        <v>10000</v>
      </c>
      <c r="I114" s="1">
        <f t="shared" si="69"/>
        <v>10000</v>
      </c>
      <c r="J114" s="6">
        <f t="shared" si="70"/>
        <v>100</v>
      </c>
      <c r="K114" s="61">
        <v>9157</v>
      </c>
      <c r="L114" s="27">
        <v>2.1080000000000001</v>
      </c>
      <c r="M114" s="27">
        <v>8.8265999999999991</v>
      </c>
      <c r="N114" s="25">
        <v>7.4063999999999997</v>
      </c>
    </row>
    <row r="115" spans="1:24" x14ac:dyDescent="0.25">
      <c r="A115" s="10">
        <v>10000</v>
      </c>
      <c r="B115" s="27">
        <v>1</v>
      </c>
      <c r="C115" s="3">
        <v>100</v>
      </c>
      <c r="D115" s="3">
        <v>2048</v>
      </c>
      <c r="E115" s="3">
        <v>12</v>
      </c>
      <c r="F115" s="3" t="s">
        <v>12</v>
      </c>
      <c r="G115" s="11" t="s">
        <v>13</v>
      </c>
      <c r="H115" s="5">
        <f t="shared" si="92"/>
        <v>10000</v>
      </c>
      <c r="I115" s="1">
        <f t="shared" si="69"/>
        <v>10000</v>
      </c>
      <c r="J115" s="6">
        <f t="shared" si="70"/>
        <v>100</v>
      </c>
      <c r="K115" s="61">
        <v>8379</v>
      </c>
      <c r="L115" s="27">
        <v>1.5886</v>
      </c>
      <c r="M115" s="27">
        <v>8.4175000000000004</v>
      </c>
      <c r="N115" s="25">
        <v>6.9756999999999998</v>
      </c>
    </row>
    <row r="116" spans="1:24" x14ac:dyDescent="0.25">
      <c r="A116" s="10">
        <v>10000</v>
      </c>
      <c r="B116" s="27">
        <v>1</v>
      </c>
      <c r="C116" s="3">
        <v>100</v>
      </c>
      <c r="D116" s="3">
        <v>2048</v>
      </c>
      <c r="E116" s="3">
        <v>12</v>
      </c>
      <c r="F116" s="3" t="s">
        <v>12</v>
      </c>
      <c r="G116" s="11" t="s">
        <v>13</v>
      </c>
      <c r="H116" s="5">
        <f t="shared" si="92"/>
        <v>10000</v>
      </c>
      <c r="I116" s="1">
        <f t="shared" si="69"/>
        <v>10000</v>
      </c>
      <c r="J116" s="6">
        <f t="shared" si="70"/>
        <v>100</v>
      </c>
      <c r="K116" s="61">
        <v>8650</v>
      </c>
      <c r="L116" s="27">
        <v>1.6624000000000001</v>
      </c>
      <c r="M116" s="27">
        <v>8.6804000000000006</v>
      </c>
      <c r="N116" s="25">
        <v>6.5711000000000004</v>
      </c>
    </row>
    <row r="117" spans="1:24" x14ac:dyDescent="0.25">
      <c r="A117" s="10">
        <v>10000</v>
      </c>
      <c r="B117" s="27">
        <v>1</v>
      </c>
      <c r="C117" s="3">
        <v>100</v>
      </c>
      <c r="D117" s="3">
        <v>2048</v>
      </c>
      <c r="E117" s="3">
        <v>12</v>
      </c>
      <c r="F117" s="3" t="s">
        <v>12</v>
      </c>
      <c r="G117" s="11" t="s">
        <v>13</v>
      </c>
      <c r="H117" s="5">
        <f t="shared" si="92"/>
        <v>10000</v>
      </c>
      <c r="I117" s="1">
        <f t="shared" si="69"/>
        <v>10000</v>
      </c>
      <c r="J117" s="6">
        <f t="shared" si="70"/>
        <v>100</v>
      </c>
      <c r="K117" s="61">
        <v>8664</v>
      </c>
      <c r="L117" s="27">
        <v>1.6383000000000001</v>
      </c>
      <c r="M117" s="27">
        <v>8.7178000000000004</v>
      </c>
      <c r="N117" s="25">
        <v>6.7664</v>
      </c>
      <c r="P117">
        <f t="shared" ref="P117" si="93">SUM(K113:K117)/5</f>
        <v>8794</v>
      </c>
      <c r="Q117">
        <f t="shared" ref="Q117" si="94">SUM(L113:L117)/5</f>
        <v>1.8030599999999999</v>
      </c>
      <c r="R117">
        <f>SUM(M113:M117)/5</f>
        <v>8.6924799999999998</v>
      </c>
      <c r="S117">
        <f t="shared" ref="S117" si="95">SUM(N113:N117)/5</f>
        <v>7.1256399999999998</v>
      </c>
    </row>
    <row r="118" spans="1:24" x14ac:dyDescent="0.25">
      <c r="A118" s="10">
        <v>10000</v>
      </c>
      <c r="B118" s="28">
        <v>3</v>
      </c>
      <c r="C118" s="3">
        <v>100</v>
      </c>
      <c r="D118" s="3">
        <v>2048</v>
      </c>
      <c r="E118" s="3">
        <v>12</v>
      </c>
      <c r="F118" s="3" t="s">
        <v>12</v>
      </c>
      <c r="G118" s="11" t="s">
        <v>13</v>
      </c>
      <c r="H118" s="5">
        <f t="shared" ref="H118:H127" si="96">A118</f>
        <v>10000</v>
      </c>
      <c r="I118" s="4">
        <f t="shared" si="69"/>
        <v>30000</v>
      </c>
      <c r="J118" s="6">
        <f t="shared" si="70"/>
        <v>100</v>
      </c>
      <c r="K118" s="62">
        <v>25652</v>
      </c>
      <c r="L118" s="28">
        <v>2.8401999999999998</v>
      </c>
      <c r="M118" s="28">
        <v>9.2874999999999996</v>
      </c>
      <c r="N118" s="24">
        <v>6.649</v>
      </c>
    </row>
    <row r="119" spans="1:24" x14ac:dyDescent="0.25">
      <c r="A119" s="10">
        <v>10000</v>
      </c>
      <c r="B119" s="28">
        <v>3</v>
      </c>
      <c r="C119" s="3">
        <v>100</v>
      </c>
      <c r="D119" s="3">
        <v>2048</v>
      </c>
      <c r="E119" s="3">
        <v>12</v>
      </c>
      <c r="F119" s="3" t="s">
        <v>12</v>
      </c>
      <c r="G119" s="11" t="s">
        <v>13</v>
      </c>
      <c r="H119" s="5">
        <f t="shared" si="96"/>
        <v>10000</v>
      </c>
      <c r="I119" s="4">
        <f t="shared" si="69"/>
        <v>30000</v>
      </c>
      <c r="J119" s="6">
        <f t="shared" si="70"/>
        <v>100</v>
      </c>
      <c r="K119" s="62">
        <v>25506</v>
      </c>
      <c r="L119" s="28">
        <v>2.6495000000000002</v>
      </c>
      <c r="M119" s="28">
        <v>9.3053000000000008</v>
      </c>
      <c r="N119" s="24">
        <v>6.8044000000000002</v>
      </c>
    </row>
    <row r="120" spans="1:24" x14ac:dyDescent="0.25">
      <c r="A120" s="10">
        <v>10000</v>
      </c>
      <c r="B120" s="28">
        <v>3</v>
      </c>
      <c r="C120" s="3">
        <v>100</v>
      </c>
      <c r="D120" s="3">
        <v>2048</v>
      </c>
      <c r="E120" s="3">
        <v>12</v>
      </c>
      <c r="F120" s="3" t="s">
        <v>12</v>
      </c>
      <c r="G120" s="11" t="s">
        <v>13</v>
      </c>
      <c r="H120" s="5">
        <f t="shared" si="96"/>
        <v>10000</v>
      </c>
      <c r="I120" s="4">
        <f t="shared" ref="I120:I151" si="97">A120*B120</f>
        <v>30000</v>
      </c>
      <c r="J120" s="6">
        <f t="shared" ref="J120:J151" si="98">A120/C120</f>
        <v>100</v>
      </c>
      <c r="K120" s="62">
        <v>26099</v>
      </c>
      <c r="L120" s="28">
        <v>2.9003000000000001</v>
      </c>
      <c r="M120" s="28">
        <v>9.4611000000000001</v>
      </c>
      <c r="N120" s="24">
        <v>8.1454000000000004</v>
      </c>
    </row>
    <row r="121" spans="1:24" x14ac:dyDescent="0.25">
      <c r="A121" s="10">
        <v>10000</v>
      </c>
      <c r="B121" s="28">
        <v>3</v>
      </c>
      <c r="C121" s="3">
        <v>100</v>
      </c>
      <c r="D121" s="3">
        <v>2048</v>
      </c>
      <c r="E121" s="3">
        <v>12</v>
      </c>
      <c r="F121" s="3" t="s">
        <v>12</v>
      </c>
      <c r="G121" s="11" t="s">
        <v>13</v>
      </c>
      <c r="H121" s="5">
        <f t="shared" si="96"/>
        <v>10000</v>
      </c>
      <c r="I121" s="4">
        <f t="shared" si="97"/>
        <v>30000</v>
      </c>
      <c r="J121" s="6">
        <f t="shared" si="98"/>
        <v>100</v>
      </c>
      <c r="K121" s="62">
        <v>25712</v>
      </c>
      <c r="L121" s="28">
        <v>2.7917000000000001</v>
      </c>
      <c r="M121" s="28">
        <v>9.3361000000000001</v>
      </c>
      <c r="N121" s="24">
        <v>6.6215000000000002</v>
      </c>
    </row>
    <row r="122" spans="1:24" x14ac:dyDescent="0.25">
      <c r="A122" s="10">
        <v>10000</v>
      </c>
      <c r="B122" s="28">
        <v>3</v>
      </c>
      <c r="C122" s="3">
        <v>100</v>
      </c>
      <c r="D122" s="3">
        <v>2048</v>
      </c>
      <c r="E122" s="3">
        <v>12</v>
      </c>
      <c r="F122" s="3" t="s">
        <v>12</v>
      </c>
      <c r="G122" s="11" t="s">
        <v>13</v>
      </c>
      <c r="H122" s="5">
        <f t="shared" si="96"/>
        <v>10000</v>
      </c>
      <c r="I122" s="4">
        <f t="shared" si="97"/>
        <v>30000</v>
      </c>
      <c r="J122" s="6">
        <f t="shared" si="98"/>
        <v>100</v>
      </c>
      <c r="K122" s="62">
        <v>27150</v>
      </c>
      <c r="L122" s="28">
        <v>3.1743999999999999</v>
      </c>
      <c r="M122" s="28">
        <v>9.7895000000000003</v>
      </c>
      <c r="N122" s="24">
        <v>6.9730999999999996</v>
      </c>
      <c r="P122">
        <f t="shared" ref="P122" si="99">SUM(K118:K122)/5</f>
        <v>26023.8</v>
      </c>
      <c r="Q122">
        <f t="shared" ref="Q122" si="100">SUM(L118:L122)/5</f>
        <v>2.8712200000000001</v>
      </c>
      <c r="R122">
        <f>SUM(M118:M122)/5</f>
        <v>9.4359000000000002</v>
      </c>
      <c r="S122">
        <f t="shared" ref="S122" si="101">SUM(N118:N122)/5</f>
        <v>7.0386800000000012</v>
      </c>
    </row>
    <row r="123" spans="1:24" x14ac:dyDescent="0.25">
      <c r="A123" s="10">
        <v>10000</v>
      </c>
      <c r="B123" s="38">
        <v>5</v>
      </c>
      <c r="C123" s="3">
        <v>100</v>
      </c>
      <c r="D123" s="3">
        <v>2048</v>
      </c>
      <c r="E123" s="3">
        <v>12</v>
      </c>
      <c r="F123" s="3" t="s">
        <v>12</v>
      </c>
      <c r="G123" s="11" t="s">
        <v>13</v>
      </c>
      <c r="H123" s="5">
        <f t="shared" si="96"/>
        <v>10000</v>
      </c>
      <c r="I123" s="51">
        <f t="shared" si="97"/>
        <v>50000</v>
      </c>
      <c r="J123" s="6">
        <f t="shared" si="98"/>
        <v>100</v>
      </c>
      <c r="K123" s="63">
        <v>42929</v>
      </c>
      <c r="L123" s="38">
        <v>3.5432999999999999</v>
      </c>
      <c r="M123" s="38">
        <v>9.5862999999999996</v>
      </c>
      <c r="N123" s="23">
        <v>6.7305999999999999</v>
      </c>
    </row>
    <row r="124" spans="1:24" x14ac:dyDescent="0.25">
      <c r="A124" s="10">
        <v>10000</v>
      </c>
      <c r="B124" s="38">
        <v>5</v>
      </c>
      <c r="C124" s="3">
        <v>100</v>
      </c>
      <c r="D124" s="3">
        <v>2048</v>
      </c>
      <c r="E124" s="3">
        <v>12</v>
      </c>
      <c r="F124" s="3" t="s">
        <v>12</v>
      </c>
      <c r="G124" s="11" t="s">
        <v>13</v>
      </c>
      <c r="H124" s="5">
        <f t="shared" si="96"/>
        <v>10000</v>
      </c>
      <c r="I124" s="51">
        <f t="shared" si="97"/>
        <v>50000</v>
      </c>
      <c r="J124" s="6">
        <f t="shared" si="98"/>
        <v>100</v>
      </c>
      <c r="K124" s="63">
        <v>42014</v>
      </c>
      <c r="L124" s="38">
        <v>3.3407</v>
      </c>
      <c r="M124" s="38">
        <v>9.4062000000000001</v>
      </c>
      <c r="N124" s="23">
        <v>7.8342999999999998</v>
      </c>
    </row>
    <row r="125" spans="1:24" x14ac:dyDescent="0.25">
      <c r="A125" s="10">
        <v>10000</v>
      </c>
      <c r="B125" s="38">
        <v>5</v>
      </c>
      <c r="C125" s="3">
        <v>100</v>
      </c>
      <c r="D125" s="3">
        <v>2048</v>
      </c>
      <c r="E125" s="3">
        <v>12</v>
      </c>
      <c r="F125" s="3" t="s">
        <v>12</v>
      </c>
      <c r="G125" s="11" t="s">
        <v>13</v>
      </c>
      <c r="H125" s="5">
        <f t="shared" si="96"/>
        <v>10000</v>
      </c>
      <c r="I125" s="51">
        <f t="shared" si="97"/>
        <v>50000</v>
      </c>
      <c r="J125" s="6">
        <f t="shared" si="98"/>
        <v>100</v>
      </c>
      <c r="K125" s="63">
        <v>42134</v>
      </c>
      <c r="L125" s="38">
        <v>3.3359000000000001</v>
      </c>
      <c r="M125" s="38">
        <v>9.4334000000000007</v>
      </c>
      <c r="N125" s="23">
        <v>6.9622000000000002</v>
      </c>
    </row>
    <row r="126" spans="1:24" x14ac:dyDescent="0.25">
      <c r="A126" s="10">
        <v>10000</v>
      </c>
      <c r="B126" s="38">
        <v>5</v>
      </c>
      <c r="C126" s="3">
        <v>100</v>
      </c>
      <c r="D126" s="3">
        <v>2048</v>
      </c>
      <c r="E126" s="3">
        <v>12</v>
      </c>
      <c r="F126" s="3" t="s">
        <v>12</v>
      </c>
      <c r="G126" s="11" t="s">
        <v>13</v>
      </c>
      <c r="H126" s="5">
        <f t="shared" si="96"/>
        <v>10000</v>
      </c>
      <c r="I126" s="51">
        <f t="shared" si="97"/>
        <v>50000</v>
      </c>
      <c r="J126" s="6">
        <f t="shared" si="98"/>
        <v>100</v>
      </c>
      <c r="K126" s="63">
        <v>42338</v>
      </c>
      <c r="L126" s="38">
        <v>3.4733999999999998</v>
      </c>
      <c r="M126" s="38">
        <v>9.4589999999999996</v>
      </c>
      <c r="N126" s="23">
        <v>7.6147999999999998</v>
      </c>
    </row>
    <row r="127" spans="1:24" x14ac:dyDescent="0.25">
      <c r="A127" s="10">
        <v>10000</v>
      </c>
      <c r="B127" s="38">
        <v>5</v>
      </c>
      <c r="C127" s="3">
        <v>100</v>
      </c>
      <c r="D127" s="3">
        <v>2048</v>
      </c>
      <c r="E127" s="3">
        <v>12</v>
      </c>
      <c r="F127" s="3" t="s">
        <v>12</v>
      </c>
      <c r="G127" s="11" t="s">
        <v>13</v>
      </c>
      <c r="H127" s="5">
        <f t="shared" si="96"/>
        <v>10000</v>
      </c>
      <c r="I127" s="51">
        <f t="shared" si="97"/>
        <v>50000</v>
      </c>
      <c r="J127" s="6">
        <f t="shared" si="98"/>
        <v>100</v>
      </c>
      <c r="K127" s="63">
        <v>43280</v>
      </c>
      <c r="L127" s="38">
        <v>3.5529999999999999</v>
      </c>
      <c r="M127" s="38">
        <v>9.6681000000000008</v>
      </c>
      <c r="N127" s="23">
        <v>6.5468999999999999</v>
      </c>
      <c r="P127">
        <f t="shared" ref="P127" si="102">SUM(K123:K127)/5</f>
        <v>42539</v>
      </c>
      <c r="Q127">
        <f t="shared" ref="Q127" si="103">SUM(L123:L127)/5</f>
        <v>3.4492600000000002</v>
      </c>
      <c r="R127">
        <f t="shared" ref="R127" si="104">SUM(M123:M127)/5</f>
        <v>9.5106000000000002</v>
      </c>
      <c r="S127">
        <f t="shared" ref="S127" si="105">SUM(N123:N127)/5</f>
        <v>7.1377600000000001</v>
      </c>
      <c r="U127" t="s">
        <v>7</v>
      </c>
      <c r="V127" s="89" t="s">
        <v>22</v>
      </c>
      <c r="W127" s="89" t="s">
        <v>23</v>
      </c>
      <c r="X127" s="89" t="s">
        <v>24</v>
      </c>
    </row>
    <row r="128" spans="1:24" x14ac:dyDescent="0.25">
      <c r="A128" s="10">
        <v>10000</v>
      </c>
      <c r="B128" s="27">
        <v>10</v>
      </c>
      <c r="C128" s="3">
        <v>100</v>
      </c>
      <c r="D128" s="3">
        <v>2048</v>
      </c>
      <c r="E128" s="3">
        <v>12</v>
      </c>
      <c r="F128" s="3" t="s">
        <v>12</v>
      </c>
      <c r="G128" s="11" t="s">
        <v>13</v>
      </c>
      <c r="H128" s="5">
        <f>A128</f>
        <v>10000</v>
      </c>
      <c r="I128" s="1">
        <f t="shared" si="97"/>
        <v>100000</v>
      </c>
      <c r="J128" s="6">
        <f t="shared" si="98"/>
        <v>100</v>
      </c>
      <c r="K128" s="61">
        <v>84745</v>
      </c>
      <c r="L128" s="27">
        <v>4.6352000000000002</v>
      </c>
      <c r="M128" s="27">
        <v>9.6988000000000003</v>
      </c>
      <c r="N128" s="25">
        <v>7.0552999999999999</v>
      </c>
      <c r="U128" s="27" t="s">
        <v>42</v>
      </c>
      <c r="V128">
        <f>Q117</f>
        <v>1.8030599999999999</v>
      </c>
      <c r="W128">
        <f t="shared" ref="W128:X128" si="106">R117</f>
        <v>8.6924799999999998</v>
      </c>
      <c r="X128">
        <f t="shared" si="106"/>
        <v>7.1256399999999998</v>
      </c>
    </row>
    <row r="129" spans="1:24" x14ac:dyDescent="0.25">
      <c r="A129" s="10">
        <v>10000</v>
      </c>
      <c r="B129" s="27">
        <v>10</v>
      </c>
      <c r="C129" s="3">
        <v>100</v>
      </c>
      <c r="D129" s="3">
        <v>2048</v>
      </c>
      <c r="E129" s="3">
        <v>12</v>
      </c>
      <c r="F129" s="3" t="s">
        <v>12</v>
      </c>
      <c r="G129" s="11" t="s">
        <v>13</v>
      </c>
      <c r="H129" s="5">
        <f>A129</f>
        <v>10000</v>
      </c>
      <c r="I129" s="1">
        <f t="shared" si="97"/>
        <v>100000</v>
      </c>
      <c r="J129" s="6">
        <f t="shared" si="98"/>
        <v>100</v>
      </c>
      <c r="K129" s="61">
        <v>85148</v>
      </c>
      <c r="L129" s="27">
        <v>4.7762000000000002</v>
      </c>
      <c r="M129" s="27">
        <v>9.7315000000000005</v>
      </c>
      <c r="N129" s="25">
        <v>7.5975000000000001</v>
      </c>
      <c r="U129" s="28" t="s">
        <v>43</v>
      </c>
      <c r="V129">
        <f>Q122</f>
        <v>2.8712200000000001</v>
      </c>
      <c r="W129">
        <f t="shared" ref="W129:X129" si="107">R122</f>
        <v>9.4359000000000002</v>
      </c>
      <c r="X129">
        <f t="shared" si="107"/>
        <v>7.0386800000000012</v>
      </c>
    </row>
    <row r="130" spans="1:24" x14ac:dyDescent="0.25">
      <c r="A130" s="10">
        <v>10000</v>
      </c>
      <c r="B130" s="27">
        <v>10</v>
      </c>
      <c r="C130" s="3">
        <v>100</v>
      </c>
      <c r="D130" s="3">
        <v>2048</v>
      </c>
      <c r="E130" s="3">
        <v>12</v>
      </c>
      <c r="F130" s="3" t="s">
        <v>12</v>
      </c>
      <c r="G130" s="11" t="s">
        <v>13</v>
      </c>
      <c r="H130" s="5">
        <f>A130</f>
        <v>10000</v>
      </c>
      <c r="I130" s="1">
        <f t="shared" si="97"/>
        <v>100000</v>
      </c>
      <c r="J130" s="6">
        <f t="shared" si="98"/>
        <v>100</v>
      </c>
      <c r="K130" s="61">
        <v>85026</v>
      </c>
      <c r="L130" s="27">
        <v>4.851</v>
      </c>
      <c r="M130" s="27">
        <v>9.7116000000000007</v>
      </c>
      <c r="N130" s="25">
        <v>7.4523000000000001</v>
      </c>
      <c r="U130" s="38" t="s">
        <v>44</v>
      </c>
      <c r="V130">
        <f>Q127</f>
        <v>3.4492600000000002</v>
      </c>
      <c r="W130">
        <f t="shared" ref="W130:X130" si="108">R127</f>
        <v>9.5106000000000002</v>
      </c>
      <c r="X130">
        <f t="shared" si="108"/>
        <v>7.1377600000000001</v>
      </c>
    </row>
    <row r="131" spans="1:24" x14ac:dyDescent="0.25">
      <c r="A131" s="10">
        <v>10000</v>
      </c>
      <c r="B131" s="27">
        <v>10</v>
      </c>
      <c r="C131" s="3">
        <v>100</v>
      </c>
      <c r="D131" s="3">
        <v>2048</v>
      </c>
      <c r="E131" s="3">
        <v>12</v>
      </c>
      <c r="F131" s="3" t="s">
        <v>12</v>
      </c>
      <c r="G131" s="11" t="s">
        <v>13</v>
      </c>
      <c r="H131" s="5">
        <f>A131</f>
        <v>10000</v>
      </c>
      <c r="I131" s="1">
        <f t="shared" si="97"/>
        <v>100000</v>
      </c>
      <c r="J131" s="6">
        <f t="shared" si="98"/>
        <v>100</v>
      </c>
      <c r="K131" s="61">
        <v>83867</v>
      </c>
      <c r="L131" s="27">
        <v>4.5330000000000004</v>
      </c>
      <c r="M131" s="27">
        <v>9.6041000000000007</v>
      </c>
      <c r="N131" s="25">
        <v>7.6874000000000002</v>
      </c>
      <c r="U131" s="27" t="s">
        <v>45</v>
      </c>
      <c r="V131">
        <f>Q132</f>
        <v>4.6837999999999997</v>
      </c>
      <c r="W131">
        <f t="shared" ref="W131:X131" si="109">R132</f>
        <v>9.6982999999999997</v>
      </c>
      <c r="X131">
        <f t="shared" si="109"/>
        <v>7.3391000000000002</v>
      </c>
    </row>
    <row r="132" spans="1:24" ht="15.75" thickBot="1" x14ac:dyDescent="0.3">
      <c r="A132" s="78">
        <v>10000</v>
      </c>
      <c r="B132" s="79">
        <v>10</v>
      </c>
      <c r="C132" s="80">
        <v>100</v>
      </c>
      <c r="D132" s="80">
        <v>2048</v>
      </c>
      <c r="E132" s="80">
        <v>12</v>
      </c>
      <c r="F132" s="80" t="s">
        <v>12</v>
      </c>
      <c r="G132" s="81" t="s">
        <v>13</v>
      </c>
      <c r="H132" s="7">
        <f>A132</f>
        <v>10000</v>
      </c>
      <c r="I132" s="54">
        <f t="shared" si="97"/>
        <v>100000</v>
      </c>
      <c r="J132" s="9">
        <f t="shared" si="98"/>
        <v>100</v>
      </c>
      <c r="K132" s="67">
        <v>85142</v>
      </c>
      <c r="L132" s="53">
        <v>4.6235999999999997</v>
      </c>
      <c r="M132" s="53">
        <v>9.7454999999999998</v>
      </c>
      <c r="N132" s="56">
        <v>6.9029999999999996</v>
      </c>
      <c r="P132">
        <f t="shared" ref="P132" si="110">SUM(K128:K132)/5</f>
        <v>84785.600000000006</v>
      </c>
      <c r="Q132">
        <f t="shared" ref="Q132" si="111">SUM(L128:L132)/5</f>
        <v>4.6837999999999997</v>
      </c>
      <c r="R132">
        <f t="shared" ref="R132" si="112">SUM(M128:M132)/5</f>
        <v>9.6982999999999997</v>
      </c>
      <c r="S132">
        <f t="shared" ref="S132" si="113">SUM(N128:N132)/5</f>
        <v>7.3391000000000002</v>
      </c>
    </row>
    <row r="133" spans="1:24" x14ac:dyDescent="0.25">
      <c r="A133" s="44">
        <v>1000</v>
      </c>
      <c r="B133" s="36">
        <v>3</v>
      </c>
      <c r="C133" s="36">
        <v>100</v>
      </c>
      <c r="D133" s="36">
        <v>2048</v>
      </c>
      <c r="E133" s="36">
        <v>12</v>
      </c>
      <c r="F133" s="36" t="s">
        <v>12</v>
      </c>
      <c r="G133" s="83" t="s">
        <v>13</v>
      </c>
      <c r="H133" s="74">
        <f t="shared" ref="H133:H147" si="114">A133</f>
        <v>1000</v>
      </c>
      <c r="I133" s="33">
        <f t="shared" si="97"/>
        <v>3000</v>
      </c>
      <c r="J133" s="34">
        <f t="shared" si="98"/>
        <v>10</v>
      </c>
      <c r="K133" s="44">
        <v>3861</v>
      </c>
      <c r="L133" s="45">
        <v>5.4088000000000003</v>
      </c>
      <c r="M133" s="45">
        <v>11.4361</v>
      </c>
      <c r="N133" s="30">
        <v>7.0381</v>
      </c>
    </row>
    <row r="134" spans="1:24" x14ac:dyDescent="0.25">
      <c r="A134" s="40">
        <v>1000</v>
      </c>
      <c r="B134" s="3">
        <v>3</v>
      </c>
      <c r="C134" s="3">
        <v>100</v>
      </c>
      <c r="D134" s="3">
        <v>2048</v>
      </c>
      <c r="E134" s="3">
        <v>12</v>
      </c>
      <c r="F134" s="3" t="s">
        <v>12</v>
      </c>
      <c r="G134" s="82" t="s">
        <v>13</v>
      </c>
      <c r="H134" s="75">
        <f t="shared" si="114"/>
        <v>1000</v>
      </c>
      <c r="I134" s="2">
        <f t="shared" si="97"/>
        <v>3000</v>
      </c>
      <c r="J134" s="6">
        <f t="shared" si="98"/>
        <v>10</v>
      </c>
      <c r="K134" s="40">
        <v>2749</v>
      </c>
      <c r="L134" s="27">
        <v>3.8622999999999998</v>
      </c>
      <c r="M134" s="27">
        <v>9.5088000000000008</v>
      </c>
      <c r="N134" s="25">
        <v>5.8468999999999998</v>
      </c>
    </row>
    <row r="135" spans="1:24" x14ac:dyDescent="0.25">
      <c r="A135" s="40">
        <v>1000</v>
      </c>
      <c r="B135" s="3">
        <v>3</v>
      </c>
      <c r="C135" s="3">
        <v>100</v>
      </c>
      <c r="D135" s="3">
        <v>2048</v>
      </c>
      <c r="E135" s="3">
        <v>12</v>
      </c>
      <c r="F135" s="3" t="s">
        <v>12</v>
      </c>
      <c r="G135" s="82" t="s">
        <v>13</v>
      </c>
      <c r="H135" s="75">
        <f t="shared" si="114"/>
        <v>1000</v>
      </c>
      <c r="I135" s="2">
        <f t="shared" si="97"/>
        <v>3000</v>
      </c>
      <c r="J135" s="6">
        <f t="shared" si="98"/>
        <v>10</v>
      </c>
      <c r="K135" s="40">
        <v>2487</v>
      </c>
      <c r="L135" s="27">
        <v>2.9965000000000002</v>
      </c>
      <c r="M135" s="27">
        <v>8.7998999999999992</v>
      </c>
      <c r="N135" s="25">
        <v>6.0462999999999996</v>
      </c>
    </row>
    <row r="136" spans="1:24" x14ac:dyDescent="0.25">
      <c r="A136" s="40">
        <v>1000</v>
      </c>
      <c r="B136" s="3">
        <v>3</v>
      </c>
      <c r="C136" s="3">
        <v>100</v>
      </c>
      <c r="D136" s="3">
        <v>2048</v>
      </c>
      <c r="E136" s="3">
        <v>12</v>
      </c>
      <c r="F136" s="3" t="s">
        <v>12</v>
      </c>
      <c r="G136" s="82" t="s">
        <v>13</v>
      </c>
      <c r="H136" s="75">
        <f t="shared" si="114"/>
        <v>1000</v>
      </c>
      <c r="I136" s="2">
        <f t="shared" si="97"/>
        <v>3000</v>
      </c>
      <c r="J136" s="6">
        <f t="shared" si="98"/>
        <v>10</v>
      </c>
      <c r="K136" s="40">
        <v>2429</v>
      </c>
      <c r="L136" s="27">
        <v>2.9914000000000001</v>
      </c>
      <c r="M136" s="27">
        <v>8.6122999999999994</v>
      </c>
      <c r="N136" s="25">
        <v>5.0579999999999998</v>
      </c>
    </row>
    <row r="137" spans="1:24" x14ac:dyDescent="0.25">
      <c r="A137" s="40">
        <v>1000</v>
      </c>
      <c r="B137" s="3">
        <v>3</v>
      </c>
      <c r="C137" s="3">
        <v>100</v>
      </c>
      <c r="D137" s="3">
        <v>2048</v>
      </c>
      <c r="E137" s="3">
        <v>12</v>
      </c>
      <c r="F137" s="3" t="s">
        <v>12</v>
      </c>
      <c r="G137" s="82" t="s">
        <v>13</v>
      </c>
      <c r="H137" s="75">
        <f t="shared" si="114"/>
        <v>1000</v>
      </c>
      <c r="I137" s="2">
        <f t="shared" si="97"/>
        <v>3000</v>
      </c>
      <c r="J137" s="6">
        <f t="shared" si="98"/>
        <v>10</v>
      </c>
      <c r="K137" s="40">
        <v>2349</v>
      </c>
      <c r="L137" s="27">
        <v>2.1743999999999999</v>
      </c>
      <c r="M137" s="27">
        <v>8.5935000000000006</v>
      </c>
      <c r="N137" s="25">
        <v>9.3492999999999995</v>
      </c>
      <c r="P137">
        <f t="shared" ref="P137" si="115">SUM(K133:K137)/5</f>
        <v>2775</v>
      </c>
      <c r="Q137">
        <f t="shared" ref="Q137" si="116">SUM(L133:L137)/5</f>
        <v>3.4866800000000007</v>
      </c>
      <c r="R137">
        <f t="shared" ref="R137" si="117">SUM(M133:M137)/5</f>
        <v>9.3901199999999996</v>
      </c>
      <c r="S137">
        <f t="shared" ref="S137" si="118">SUM(N133:N137)/5</f>
        <v>6.6677200000000001</v>
      </c>
    </row>
    <row r="138" spans="1:24" x14ac:dyDescent="0.25">
      <c r="A138" s="41">
        <v>5000</v>
      </c>
      <c r="B138" s="3">
        <v>3</v>
      </c>
      <c r="C138" s="3">
        <v>100</v>
      </c>
      <c r="D138" s="3">
        <v>2048</v>
      </c>
      <c r="E138" s="3">
        <v>12</v>
      </c>
      <c r="F138" s="3" t="s">
        <v>12</v>
      </c>
      <c r="G138" s="82" t="s">
        <v>13</v>
      </c>
      <c r="H138" s="76">
        <f t="shared" si="114"/>
        <v>5000</v>
      </c>
      <c r="I138" s="2">
        <f t="shared" si="97"/>
        <v>15000</v>
      </c>
      <c r="J138" s="6">
        <f t="shared" si="98"/>
        <v>50</v>
      </c>
      <c r="K138" s="41">
        <v>11602</v>
      </c>
      <c r="L138" s="28">
        <v>2.4258999999999999</v>
      </c>
      <c r="M138" s="28">
        <v>8.4532000000000007</v>
      </c>
      <c r="N138" s="24">
        <v>5.2786999999999997</v>
      </c>
    </row>
    <row r="139" spans="1:24" x14ac:dyDescent="0.25">
      <c r="A139" s="41">
        <v>5000</v>
      </c>
      <c r="B139" s="3">
        <v>3</v>
      </c>
      <c r="C139" s="3">
        <v>100</v>
      </c>
      <c r="D139" s="3">
        <v>2048</v>
      </c>
      <c r="E139" s="3">
        <v>12</v>
      </c>
      <c r="F139" s="3" t="s">
        <v>12</v>
      </c>
      <c r="G139" s="82" t="s">
        <v>13</v>
      </c>
      <c r="H139" s="76">
        <f t="shared" si="114"/>
        <v>5000</v>
      </c>
      <c r="I139" s="2">
        <f t="shared" si="97"/>
        <v>15000</v>
      </c>
      <c r="J139" s="6">
        <f t="shared" si="98"/>
        <v>50</v>
      </c>
      <c r="K139" s="41">
        <v>11718</v>
      </c>
      <c r="L139" s="28">
        <v>2.5224000000000002</v>
      </c>
      <c r="M139" s="28">
        <v>8.5038</v>
      </c>
      <c r="N139" s="24">
        <v>5.1590999999999996</v>
      </c>
    </row>
    <row r="140" spans="1:24" x14ac:dyDescent="0.25">
      <c r="A140" s="41">
        <v>5000</v>
      </c>
      <c r="B140" s="3">
        <v>3</v>
      </c>
      <c r="C140" s="3">
        <v>100</v>
      </c>
      <c r="D140" s="3">
        <v>2048</v>
      </c>
      <c r="E140" s="3">
        <v>12</v>
      </c>
      <c r="F140" s="3" t="s">
        <v>12</v>
      </c>
      <c r="G140" s="82" t="s">
        <v>13</v>
      </c>
      <c r="H140" s="76">
        <f t="shared" si="114"/>
        <v>5000</v>
      </c>
      <c r="I140" s="2">
        <f t="shared" si="97"/>
        <v>15000</v>
      </c>
      <c r="J140" s="6">
        <f t="shared" si="98"/>
        <v>50</v>
      </c>
      <c r="K140" s="41">
        <v>11828</v>
      </c>
      <c r="L140" s="28">
        <v>2.3879000000000001</v>
      </c>
      <c r="M140" s="28">
        <v>8.6408000000000005</v>
      </c>
      <c r="N140" s="24">
        <v>5.0754000000000001</v>
      </c>
    </row>
    <row r="141" spans="1:24" x14ac:dyDescent="0.25">
      <c r="A141" s="41">
        <v>5000</v>
      </c>
      <c r="B141" s="3">
        <v>3</v>
      </c>
      <c r="C141" s="3">
        <v>100</v>
      </c>
      <c r="D141" s="3">
        <v>2048</v>
      </c>
      <c r="E141" s="3">
        <v>12</v>
      </c>
      <c r="F141" s="3" t="s">
        <v>12</v>
      </c>
      <c r="G141" s="82" t="s">
        <v>13</v>
      </c>
      <c r="H141" s="76">
        <f t="shared" si="114"/>
        <v>5000</v>
      </c>
      <c r="I141" s="2">
        <f t="shared" si="97"/>
        <v>15000</v>
      </c>
      <c r="J141" s="6">
        <f t="shared" si="98"/>
        <v>50</v>
      </c>
      <c r="K141" s="41">
        <v>11728</v>
      </c>
      <c r="L141" s="28">
        <v>2.3693</v>
      </c>
      <c r="M141" s="28">
        <v>8.5739999999999998</v>
      </c>
      <c r="N141" s="24">
        <v>5.8502000000000001</v>
      </c>
    </row>
    <row r="142" spans="1:24" x14ac:dyDescent="0.25">
      <c r="A142" s="41">
        <v>5000</v>
      </c>
      <c r="B142" s="3">
        <v>3</v>
      </c>
      <c r="C142" s="3">
        <v>100</v>
      </c>
      <c r="D142" s="3">
        <v>2048</v>
      </c>
      <c r="E142" s="3">
        <v>12</v>
      </c>
      <c r="F142" s="3" t="s">
        <v>12</v>
      </c>
      <c r="G142" s="82" t="s">
        <v>13</v>
      </c>
      <c r="H142" s="76">
        <f t="shared" si="114"/>
        <v>5000</v>
      </c>
      <c r="I142" s="2">
        <f t="shared" si="97"/>
        <v>15000</v>
      </c>
      <c r="J142" s="6">
        <f t="shared" si="98"/>
        <v>50</v>
      </c>
      <c r="K142" s="41">
        <v>11823</v>
      </c>
      <c r="L142" s="28">
        <v>2.3717999999999999</v>
      </c>
      <c r="M142" s="28">
        <v>8.6448999999999998</v>
      </c>
      <c r="N142" s="24">
        <v>6.5652999999999997</v>
      </c>
      <c r="P142">
        <f t="shared" ref="P142" si="119">SUM(K138:K142)/5</f>
        <v>11739.8</v>
      </c>
      <c r="Q142">
        <f t="shared" ref="Q142" si="120">SUM(L138:L142)/5</f>
        <v>2.4154600000000004</v>
      </c>
      <c r="R142">
        <f t="shared" ref="R142" si="121">SUM(M138:M142)/5</f>
        <v>8.5633400000000002</v>
      </c>
      <c r="S142">
        <f t="shared" ref="S142" si="122">SUM(N138:N142)/5</f>
        <v>5.5857399999999995</v>
      </c>
    </row>
    <row r="143" spans="1:24" x14ac:dyDescent="0.25">
      <c r="A143" s="46">
        <v>10000</v>
      </c>
      <c r="B143" s="3">
        <v>3</v>
      </c>
      <c r="C143" s="3">
        <v>100</v>
      </c>
      <c r="D143" s="3">
        <v>2048</v>
      </c>
      <c r="E143" s="3">
        <v>12</v>
      </c>
      <c r="F143" s="3" t="s">
        <v>12</v>
      </c>
      <c r="G143" s="82" t="s">
        <v>13</v>
      </c>
      <c r="H143" s="77">
        <f t="shared" si="114"/>
        <v>10000</v>
      </c>
      <c r="I143" s="2">
        <f t="shared" si="97"/>
        <v>30000</v>
      </c>
      <c r="J143" s="6">
        <f t="shared" si="98"/>
        <v>100</v>
      </c>
      <c r="K143" s="46">
        <v>23993</v>
      </c>
      <c r="L143" s="38">
        <v>2.4729999999999999</v>
      </c>
      <c r="M143" s="38">
        <v>8.7619000000000007</v>
      </c>
      <c r="N143" s="23">
        <v>5.7282999999999999</v>
      </c>
    </row>
    <row r="144" spans="1:24" x14ac:dyDescent="0.25">
      <c r="A144" s="46">
        <v>10000</v>
      </c>
      <c r="B144" s="3">
        <v>3</v>
      </c>
      <c r="C144" s="3">
        <v>100</v>
      </c>
      <c r="D144" s="3">
        <v>2048</v>
      </c>
      <c r="E144" s="3">
        <v>12</v>
      </c>
      <c r="F144" s="3" t="s">
        <v>12</v>
      </c>
      <c r="G144" s="82" t="s">
        <v>13</v>
      </c>
      <c r="H144" s="77">
        <f t="shared" si="114"/>
        <v>10000</v>
      </c>
      <c r="I144" s="2">
        <f t="shared" si="97"/>
        <v>30000</v>
      </c>
      <c r="J144" s="6">
        <f t="shared" si="98"/>
        <v>100</v>
      </c>
      <c r="K144" s="46">
        <v>24033</v>
      </c>
      <c r="L144" s="38">
        <v>2.5175000000000001</v>
      </c>
      <c r="M144" s="38">
        <v>8.7605000000000004</v>
      </c>
      <c r="N144" s="23">
        <v>5.9537000000000004</v>
      </c>
    </row>
    <row r="145" spans="1:24" x14ac:dyDescent="0.25">
      <c r="A145" s="46">
        <v>10000</v>
      </c>
      <c r="B145" s="3">
        <v>3</v>
      </c>
      <c r="C145" s="3">
        <v>100</v>
      </c>
      <c r="D145" s="3">
        <v>2048</v>
      </c>
      <c r="E145" s="3">
        <v>12</v>
      </c>
      <c r="F145" s="3" t="s">
        <v>12</v>
      </c>
      <c r="G145" s="82" t="s">
        <v>13</v>
      </c>
      <c r="H145" s="77">
        <f t="shared" si="114"/>
        <v>10000</v>
      </c>
      <c r="I145" s="2">
        <f t="shared" si="97"/>
        <v>30000</v>
      </c>
      <c r="J145" s="6">
        <f t="shared" si="98"/>
        <v>100</v>
      </c>
      <c r="K145" s="46">
        <v>30271</v>
      </c>
      <c r="L145" s="38">
        <v>3.4863</v>
      </c>
      <c r="M145" s="38">
        <v>10.9297</v>
      </c>
      <c r="N145" s="23">
        <v>8.2837999999999994</v>
      </c>
    </row>
    <row r="146" spans="1:24" x14ac:dyDescent="0.25">
      <c r="A146" s="46">
        <v>10000</v>
      </c>
      <c r="B146" s="3">
        <v>3</v>
      </c>
      <c r="C146" s="3">
        <v>100</v>
      </c>
      <c r="D146" s="3">
        <v>2048</v>
      </c>
      <c r="E146" s="3">
        <v>12</v>
      </c>
      <c r="F146" s="3" t="s">
        <v>12</v>
      </c>
      <c r="G146" s="82" t="s">
        <v>13</v>
      </c>
      <c r="H146" s="77">
        <f t="shared" si="114"/>
        <v>10000</v>
      </c>
      <c r="I146" s="2">
        <f t="shared" si="97"/>
        <v>30000</v>
      </c>
      <c r="J146" s="6">
        <f t="shared" si="98"/>
        <v>100</v>
      </c>
      <c r="K146" s="46">
        <v>26759</v>
      </c>
      <c r="L146" s="38">
        <v>2.4169999999999998</v>
      </c>
      <c r="M146" s="38">
        <v>9.8803999999999998</v>
      </c>
      <c r="N146" s="23">
        <v>6.5134999999999996</v>
      </c>
    </row>
    <row r="147" spans="1:24" x14ac:dyDescent="0.25">
      <c r="A147" s="46">
        <v>10000</v>
      </c>
      <c r="B147" s="3">
        <v>3</v>
      </c>
      <c r="C147" s="3">
        <v>100</v>
      </c>
      <c r="D147" s="3">
        <v>2048</v>
      </c>
      <c r="E147" s="3">
        <v>12</v>
      </c>
      <c r="F147" s="3" t="s">
        <v>12</v>
      </c>
      <c r="G147" s="82" t="s">
        <v>13</v>
      </c>
      <c r="H147" s="77">
        <f t="shared" si="114"/>
        <v>10000</v>
      </c>
      <c r="I147" s="2">
        <f t="shared" si="97"/>
        <v>30000</v>
      </c>
      <c r="J147" s="6">
        <f t="shared" si="98"/>
        <v>100</v>
      </c>
      <c r="K147" s="46">
        <v>25377</v>
      </c>
      <c r="L147" s="38">
        <v>2.1703999999999999</v>
      </c>
      <c r="M147" s="38">
        <v>9.4077000000000002</v>
      </c>
      <c r="N147" s="23">
        <v>6.8718000000000004</v>
      </c>
      <c r="P147">
        <f t="shared" ref="P147" si="123">SUM(K143:K147)/5</f>
        <v>26086.6</v>
      </c>
      <c r="Q147">
        <f t="shared" ref="Q147" si="124">SUM(L143:L147)/5</f>
        <v>2.6128399999999998</v>
      </c>
      <c r="R147">
        <f t="shared" ref="R147" si="125">SUM(M143:M147)/5</f>
        <v>9.5480400000000003</v>
      </c>
      <c r="S147">
        <f t="shared" ref="S147" si="126">SUM(N143:N147)/5</f>
        <v>6.6702200000000005</v>
      </c>
    </row>
    <row r="148" spans="1:24" x14ac:dyDescent="0.25">
      <c r="A148" s="41">
        <v>50000</v>
      </c>
      <c r="B148" s="3">
        <v>3</v>
      </c>
      <c r="C148" s="3">
        <v>100</v>
      </c>
      <c r="D148" s="3">
        <v>2048</v>
      </c>
      <c r="E148" s="3">
        <v>12</v>
      </c>
      <c r="F148" s="3" t="s">
        <v>12</v>
      </c>
      <c r="G148" s="82" t="s">
        <v>13</v>
      </c>
      <c r="H148" s="75">
        <f>A148</f>
        <v>50000</v>
      </c>
      <c r="I148" s="2">
        <f t="shared" si="97"/>
        <v>150000</v>
      </c>
      <c r="J148" s="6">
        <f t="shared" si="98"/>
        <v>500</v>
      </c>
      <c r="K148" s="40">
        <v>128832</v>
      </c>
      <c r="L148" s="27">
        <v>2.3443999999999998</v>
      </c>
      <c r="M148" s="27">
        <v>9.5176999999999996</v>
      </c>
      <c r="N148" s="25">
        <v>6.7084999999999999</v>
      </c>
    </row>
    <row r="149" spans="1:24" x14ac:dyDescent="0.25">
      <c r="A149" s="41">
        <v>50000</v>
      </c>
      <c r="B149" s="3">
        <v>3</v>
      </c>
      <c r="C149" s="3">
        <v>100</v>
      </c>
      <c r="D149" s="3">
        <v>2048</v>
      </c>
      <c r="E149" s="3">
        <v>12</v>
      </c>
      <c r="F149" s="3" t="s">
        <v>12</v>
      </c>
      <c r="G149" s="82" t="s">
        <v>13</v>
      </c>
      <c r="H149" s="75">
        <f>A149</f>
        <v>50000</v>
      </c>
      <c r="I149" s="2">
        <f t="shared" si="97"/>
        <v>150000</v>
      </c>
      <c r="J149" s="6">
        <f t="shared" si="98"/>
        <v>500</v>
      </c>
      <c r="K149" s="40">
        <v>126155</v>
      </c>
      <c r="L149" s="27">
        <v>2.2082999999999999</v>
      </c>
      <c r="M149" s="27">
        <v>9.3500999999999994</v>
      </c>
      <c r="N149" s="25">
        <v>6.7298</v>
      </c>
    </row>
    <row r="150" spans="1:24" x14ac:dyDescent="0.25">
      <c r="A150" s="41">
        <v>50000</v>
      </c>
      <c r="B150" s="3">
        <v>3</v>
      </c>
      <c r="C150" s="3">
        <v>100</v>
      </c>
      <c r="D150" s="3">
        <v>2048</v>
      </c>
      <c r="E150" s="3">
        <v>12</v>
      </c>
      <c r="F150" s="3" t="s">
        <v>12</v>
      </c>
      <c r="G150" s="82" t="s">
        <v>13</v>
      </c>
      <c r="H150" s="75">
        <f>A150</f>
        <v>50000</v>
      </c>
      <c r="I150" s="2">
        <f t="shared" si="97"/>
        <v>150000</v>
      </c>
      <c r="J150" s="6">
        <f t="shared" si="98"/>
        <v>500</v>
      </c>
      <c r="K150" s="40">
        <v>125159</v>
      </c>
      <c r="L150" s="27">
        <v>2.1922999999999999</v>
      </c>
      <c r="M150" s="27">
        <v>9.2751999999999999</v>
      </c>
      <c r="N150" s="25">
        <v>6.5628000000000002</v>
      </c>
    </row>
    <row r="151" spans="1:24" x14ac:dyDescent="0.25">
      <c r="A151" s="41">
        <v>50000</v>
      </c>
      <c r="B151" s="3">
        <v>3</v>
      </c>
      <c r="C151" s="3">
        <v>100</v>
      </c>
      <c r="D151" s="3">
        <v>2048</v>
      </c>
      <c r="E151" s="3">
        <v>12</v>
      </c>
      <c r="F151" s="3" t="s">
        <v>12</v>
      </c>
      <c r="G151" s="82" t="s">
        <v>13</v>
      </c>
      <c r="H151" s="75">
        <f>A151</f>
        <v>50000</v>
      </c>
      <c r="I151" s="2">
        <f t="shared" si="97"/>
        <v>150000</v>
      </c>
      <c r="J151" s="6">
        <f t="shared" si="98"/>
        <v>500</v>
      </c>
      <c r="K151" s="40">
        <v>126264</v>
      </c>
      <c r="L151" s="27">
        <v>2.2279</v>
      </c>
      <c r="M151" s="27">
        <v>9.3515999999999995</v>
      </c>
      <c r="N151" s="25">
        <v>6.6566000000000001</v>
      </c>
      <c r="U151" t="s">
        <v>7</v>
      </c>
      <c r="V151" s="89" t="s">
        <v>22</v>
      </c>
      <c r="W151" s="89" t="s">
        <v>23</v>
      </c>
      <c r="X151" s="89" t="s">
        <v>24</v>
      </c>
    </row>
    <row r="152" spans="1:24" x14ac:dyDescent="0.25">
      <c r="A152" s="41">
        <v>50000</v>
      </c>
      <c r="B152" s="3">
        <v>3</v>
      </c>
      <c r="C152" s="3">
        <v>100</v>
      </c>
      <c r="D152" s="3">
        <v>2048</v>
      </c>
      <c r="E152" s="3">
        <v>12</v>
      </c>
      <c r="F152" s="3" t="s">
        <v>12</v>
      </c>
      <c r="G152" s="82" t="s">
        <v>13</v>
      </c>
      <c r="H152" s="75">
        <f>A152</f>
        <v>50000</v>
      </c>
      <c r="I152" s="2">
        <f t="shared" ref="I152:I157" si="127">A152*B152</f>
        <v>150000</v>
      </c>
      <c r="J152" s="6">
        <f t="shared" ref="J152:J157" si="128">A152/C152</f>
        <v>500</v>
      </c>
      <c r="K152" s="40">
        <v>124695</v>
      </c>
      <c r="L152" s="27">
        <v>2.1764000000000001</v>
      </c>
      <c r="M152" s="27">
        <v>9.2436000000000007</v>
      </c>
      <c r="N152" s="25">
        <v>6.6459000000000001</v>
      </c>
      <c r="P152">
        <f t="shared" ref="P152" si="129">SUM(K148:K152)/5</f>
        <v>126221</v>
      </c>
      <c r="Q152">
        <f t="shared" ref="Q152" si="130">SUM(L148:L152)/5</f>
        <v>2.22986</v>
      </c>
      <c r="R152">
        <f t="shared" ref="R152" si="131">SUM(M148:M152)/5</f>
        <v>9.3476400000000002</v>
      </c>
      <c r="S152">
        <f t="shared" ref="S152" si="132">SUM(N148:N152)/5</f>
        <v>6.6607200000000004</v>
      </c>
      <c r="U152" s="40" t="s">
        <v>46</v>
      </c>
      <c r="V152">
        <f>Q137</f>
        <v>3.4866800000000007</v>
      </c>
      <c r="W152">
        <f t="shared" ref="W152:X152" si="133">R137</f>
        <v>9.3901199999999996</v>
      </c>
      <c r="X152">
        <f t="shared" si="133"/>
        <v>6.6677200000000001</v>
      </c>
    </row>
    <row r="153" spans="1:24" x14ac:dyDescent="0.25">
      <c r="A153" s="40">
        <v>100000</v>
      </c>
      <c r="B153" s="3">
        <v>3</v>
      </c>
      <c r="C153" s="3">
        <v>100</v>
      </c>
      <c r="D153" s="3">
        <v>2048</v>
      </c>
      <c r="E153" s="3">
        <v>12</v>
      </c>
      <c r="F153" s="3" t="s">
        <v>12</v>
      </c>
      <c r="G153" s="82" t="s">
        <v>13</v>
      </c>
      <c r="H153" s="76">
        <f t="shared" ref="H153:H157" si="134">A153</f>
        <v>100000</v>
      </c>
      <c r="I153" s="2">
        <f t="shared" si="127"/>
        <v>300000</v>
      </c>
      <c r="J153" s="6">
        <f t="shared" si="128"/>
        <v>1000</v>
      </c>
      <c r="K153" s="41">
        <v>257384</v>
      </c>
      <c r="L153" s="28">
        <v>2.3151999999999999</v>
      </c>
      <c r="M153" s="28">
        <v>9.5174000000000003</v>
      </c>
      <c r="N153" s="24">
        <v>6.7352999999999996</v>
      </c>
      <c r="U153" s="41" t="s">
        <v>47</v>
      </c>
      <c r="V153">
        <f>Q142</f>
        <v>2.4154600000000004</v>
      </c>
      <c r="W153">
        <f t="shared" ref="W153:X153" si="135">R142</f>
        <v>8.5633400000000002</v>
      </c>
      <c r="X153">
        <f t="shared" si="135"/>
        <v>5.5857399999999995</v>
      </c>
    </row>
    <row r="154" spans="1:24" x14ac:dyDescent="0.25">
      <c r="A154" s="40">
        <v>100000</v>
      </c>
      <c r="B154" s="3">
        <v>3</v>
      </c>
      <c r="C154" s="3">
        <v>100</v>
      </c>
      <c r="D154" s="3">
        <v>2048</v>
      </c>
      <c r="E154" s="3">
        <v>12</v>
      </c>
      <c r="F154" s="3" t="s">
        <v>12</v>
      </c>
      <c r="G154" s="82" t="s">
        <v>13</v>
      </c>
      <c r="H154" s="76">
        <f t="shared" si="134"/>
        <v>100000</v>
      </c>
      <c r="I154" s="2">
        <f t="shared" si="127"/>
        <v>300000</v>
      </c>
      <c r="J154" s="6">
        <f t="shared" si="128"/>
        <v>1000</v>
      </c>
      <c r="K154" s="41">
        <v>255623</v>
      </c>
      <c r="L154" s="28">
        <v>2.2753999999999999</v>
      </c>
      <c r="M154" s="28">
        <v>9.4583999999999993</v>
      </c>
      <c r="N154" s="24">
        <v>6.6130000000000004</v>
      </c>
      <c r="U154" s="46" t="s">
        <v>48</v>
      </c>
      <c r="V154">
        <f>Q147</f>
        <v>2.6128399999999998</v>
      </c>
      <c r="W154">
        <f t="shared" ref="W154:X154" si="136">R147</f>
        <v>9.5480400000000003</v>
      </c>
      <c r="X154">
        <f t="shared" si="136"/>
        <v>6.6702200000000005</v>
      </c>
    </row>
    <row r="155" spans="1:24" x14ac:dyDescent="0.25">
      <c r="A155" s="40">
        <v>100000</v>
      </c>
      <c r="B155" s="3">
        <v>3</v>
      </c>
      <c r="C155" s="3">
        <v>100</v>
      </c>
      <c r="D155" s="3">
        <v>2048</v>
      </c>
      <c r="E155" s="3">
        <v>12</v>
      </c>
      <c r="F155" s="3" t="s">
        <v>12</v>
      </c>
      <c r="G155" s="82" t="s">
        <v>13</v>
      </c>
      <c r="H155" s="76">
        <f t="shared" si="134"/>
        <v>100000</v>
      </c>
      <c r="I155" s="2">
        <f t="shared" si="127"/>
        <v>300000</v>
      </c>
      <c r="J155" s="6">
        <f t="shared" si="128"/>
        <v>1000</v>
      </c>
      <c r="K155" s="41">
        <v>256288</v>
      </c>
      <c r="L155" s="28">
        <v>2.3151999999999999</v>
      </c>
      <c r="M155" s="28">
        <v>9.4731000000000005</v>
      </c>
      <c r="N155" s="24">
        <v>6.6822999999999997</v>
      </c>
      <c r="U155" s="41" t="s">
        <v>49</v>
      </c>
      <c r="V155">
        <f>Q152</f>
        <v>2.22986</v>
      </c>
      <c r="W155">
        <f t="shared" ref="W155:X155" si="137">R152</f>
        <v>9.3476400000000002</v>
      </c>
      <c r="X155">
        <f t="shared" si="137"/>
        <v>6.6607200000000004</v>
      </c>
    </row>
    <row r="156" spans="1:24" x14ac:dyDescent="0.25">
      <c r="A156" s="40">
        <v>100000</v>
      </c>
      <c r="B156" s="3">
        <v>3</v>
      </c>
      <c r="C156" s="3">
        <v>100</v>
      </c>
      <c r="D156" s="3">
        <v>2048</v>
      </c>
      <c r="E156" s="3">
        <v>12</v>
      </c>
      <c r="F156" s="3" t="s">
        <v>12</v>
      </c>
      <c r="G156" s="82" t="s">
        <v>13</v>
      </c>
      <c r="H156" s="76">
        <f t="shared" si="134"/>
        <v>100000</v>
      </c>
      <c r="I156" s="2">
        <f t="shared" si="127"/>
        <v>300000</v>
      </c>
      <c r="J156" s="6">
        <f t="shared" si="128"/>
        <v>1000</v>
      </c>
      <c r="K156" s="41">
        <v>259981</v>
      </c>
      <c r="L156" s="28">
        <v>2.3589000000000002</v>
      </c>
      <c r="M156" s="28">
        <v>9.6052999999999997</v>
      </c>
      <c r="N156" s="24">
        <v>6.7213000000000003</v>
      </c>
      <c r="U156" s="40" t="s">
        <v>50</v>
      </c>
      <c r="V156">
        <f>Q157</f>
        <v>2.3078799999999999</v>
      </c>
      <c r="W156">
        <f t="shared" ref="W156:X156" si="138">R157</f>
        <v>9.4823199999999996</v>
      </c>
      <c r="X156">
        <f t="shared" si="138"/>
        <v>6.6395</v>
      </c>
    </row>
    <row r="157" spans="1:24" ht="15.75" thickBot="1" x14ac:dyDescent="0.3">
      <c r="A157" s="55">
        <v>100000</v>
      </c>
      <c r="B157" s="13">
        <v>3</v>
      </c>
      <c r="C157" s="13">
        <v>100</v>
      </c>
      <c r="D157" s="13">
        <v>2048</v>
      </c>
      <c r="E157" s="13">
        <v>12</v>
      </c>
      <c r="F157" s="13" t="s">
        <v>12</v>
      </c>
      <c r="G157" s="84" t="s">
        <v>13</v>
      </c>
      <c r="H157" s="85">
        <f t="shared" si="134"/>
        <v>100000</v>
      </c>
      <c r="I157" s="8">
        <f t="shared" si="127"/>
        <v>300000</v>
      </c>
      <c r="J157" s="9">
        <f t="shared" si="128"/>
        <v>1000</v>
      </c>
      <c r="K157" s="42">
        <v>253041</v>
      </c>
      <c r="L157" s="29">
        <v>2.2747000000000002</v>
      </c>
      <c r="M157" s="29">
        <v>9.3574000000000002</v>
      </c>
      <c r="N157" s="43">
        <v>6.4455999999999998</v>
      </c>
      <c r="P157">
        <f t="shared" ref="P157" si="139">SUM(K153:K157)/5</f>
        <v>256463.4</v>
      </c>
      <c r="Q157">
        <f t="shared" ref="Q157" si="140">SUM(L153:L157)/5</f>
        <v>2.3078799999999999</v>
      </c>
      <c r="R157">
        <f t="shared" ref="R157" si="141">SUM(M153:M157)/5</f>
        <v>9.4823199999999996</v>
      </c>
      <c r="S157">
        <f t="shared" ref="S157" si="142">SUM(N153:N157)/5</f>
        <v>6.6395</v>
      </c>
    </row>
  </sheetData>
  <mergeCells count="3">
    <mergeCell ref="A1:G1"/>
    <mergeCell ref="H1:J1"/>
    <mergeCell ref="K1:N1"/>
  </mergeCells>
  <phoneticPr fontId="3" type="noConversion"/>
  <conditionalFormatting sqref="P1:P15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7:P1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:Q15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:Q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:R157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7:R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:S157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7:S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Bartolomeu</dc:creator>
  <cp:lastModifiedBy>Nuno Bartolomeu</cp:lastModifiedBy>
  <cp:lastPrinted>2025-09-28T16:45:19Z</cp:lastPrinted>
  <dcterms:created xsi:type="dcterms:W3CDTF">2015-06-05T18:17:20Z</dcterms:created>
  <dcterms:modified xsi:type="dcterms:W3CDTF">2025-09-29T20:44:53Z</dcterms:modified>
</cp:coreProperties>
</file>